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E:\datn\web\be\assets\"/>
    </mc:Choice>
  </mc:AlternateContent>
  <xr:revisionPtr revIDLastSave="0" documentId="13_ncr:1_{95C9123E-AD3F-4FED-A81F-1DF544638D9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Mau THKQRL" sheetId="1" r:id="rId1"/>
    <sheet name="Điểm TC 1" sheetId="2" r:id="rId2"/>
    <sheet name="Điểm TC 2" sheetId="3" r:id="rId3"/>
    <sheet name="Điểm TC 3" sheetId="4" r:id="rId4"/>
    <sheet name="Điểm TC 4" sheetId="5" r:id="rId5"/>
    <sheet name="Điểm TC 5" sheetId="6" r:id="rId6"/>
    <sheet name="DTB" sheetId="7" r:id="rId7"/>
  </sheets>
  <definedNames>
    <definedName name="_xlnm.Print_Area" localSheetId="0">'Mau THKQRL'!$A$1:$K$50</definedName>
    <definedName name="_xlnm.Print_Titles" localSheetId="0">'Mau THKQRL'!$6:$6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M28" i="7" l="1"/>
  <c r="BM27" i="7"/>
  <c r="BM26" i="7"/>
  <c r="BM25" i="7"/>
  <c r="BM24" i="7"/>
  <c r="BM23" i="7"/>
  <c r="BM22" i="7"/>
  <c r="BM21" i="7"/>
  <c r="BM20" i="7"/>
  <c r="BM19" i="7"/>
  <c r="BM18" i="7"/>
  <c r="BM17" i="7"/>
  <c r="BM16" i="7"/>
  <c r="BM15" i="7"/>
  <c r="BM14" i="7"/>
  <c r="BM13" i="7"/>
  <c r="BM12" i="7"/>
  <c r="BM11" i="7"/>
  <c r="BM10" i="7"/>
  <c r="BM9" i="7"/>
  <c r="BM8" i="7"/>
  <c r="BM7" i="7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H10" i="5"/>
  <c r="H9" i="5"/>
  <c r="H8" i="5"/>
  <c r="H7" i="5"/>
  <c r="H6" i="5"/>
  <c r="H5" i="5"/>
  <c r="H4" i="5"/>
  <c r="H3" i="5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J34" i="3"/>
  <c r="J33" i="3"/>
  <c r="J32" i="3"/>
  <c r="J31" i="3"/>
  <c r="J30" i="3"/>
  <c r="J29" i="3"/>
  <c r="J28" i="3"/>
  <c r="J27" i="3"/>
  <c r="J26" i="3"/>
  <c r="J25" i="3"/>
  <c r="J24" i="3"/>
  <c r="J23" i="3"/>
  <c r="J22" i="3"/>
  <c r="J21" i="3"/>
  <c r="J20" i="3"/>
  <c r="J19" i="3"/>
  <c r="J18" i="3"/>
  <c r="J17" i="3"/>
  <c r="J16" i="3"/>
  <c r="J15" i="3"/>
  <c r="J14" i="3"/>
  <c r="J13" i="3"/>
  <c r="J12" i="3"/>
  <c r="J11" i="3"/>
  <c r="J10" i="3"/>
  <c r="J9" i="3"/>
  <c r="J8" i="3"/>
  <c r="J7" i="3"/>
  <c r="J6" i="3"/>
  <c r="J5" i="3"/>
  <c r="J4" i="3"/>
  <c r="J3" i="3"/>
  <c r="L34" i="2"/>
  <c r="K34" i="2"/>
  <c r="J34" i="2"/>
  <c r="F34" i="2"/>
  <c r="L33" i="2"/>
  <c r="K33" i="2"/>
  <c r="J33" i="2"/>
  <c r="F33" i="2"/>
  <c r="L32" i="2"/>
  <c r="K32" i="2"/>
  <c r="J32" i="2"/>
  <c r="F32" i="2"/>
  <c r="L31" i="2"/>
  <c r="K31" i="2"/>
  <c r="J31" i="2"/>
  <c r="F31" i="2"/>
  <c r="L30" i="2"/>
  <c r="K30" i="2"/>
  <c r="J30" i="2"/>
  <c r="F30" i="2"/>
  <c r="L29" i="2"/>
  <c r="K29" i="2"/>
  <c r="J29" i="2"/>
  <c r="F29" i="2"/>
  <c r="L28" i="2"/>
  <c r="K28" i="2"/>
  <c r="J28" i="2"/>
  <c r="F28" i="2"/>
  <c r="L27" i="2"/>
  <c r="K27" i="2"/>
  <c r="J27" i="2"/>
  <c r="F27" i="2"/>
  <c r="L26" i="2"/>
  <c r="K26" i="2"/>
  <c r="J26" i="2"/>
  <c r="F26" i="2"/>
  <c r="L25" i="2"/>
  <c r="K25" i="2"/>
  <c r="J25" i="2"/>
  <c r="F25" i="2"/>
  <c r="L24" i="2"/>
  <c r="K24" i="2"/>
  <c r="J24" i="2"/>
  <c r="F24" i="2"/>
  <c r="L23" i="2"/>
  <c r="K23" i="2"/>
  <c r="J23" i="2"/>
  <c r="F23" i="2"/>
  <c r="L22" i="2"/>
  <c r="K22" i="2"/>
  <c r="J22" i="2"/>
  <c r="F22" i="2"/>
  <c r="L21" i="2"/>
  <c r="K21" i="2"/>
  <c r="J21" i="2"/>
  <c r="F21" i="2"/>
  <c r="L20" i="2"/>
  <c r="K20" i="2"/>
  <c r="J20" i="2"/>
  <c r="F20" i="2"/>
  <c r="L19" i="2"/>
  <c r="K19" i="2"/>
  <c r="J19" i="2"/>
  <c r="F19" i="2"/>
  <c r="L18" i="2"/>
  <c r="K18" i="2"/>
  <c r="J18" i="2"/>
  <c r="F18" i="2"/>
  <c r="L17" i="2"/>
  <c r="K17" i="2"/>
  <c r="J17" i="2"/>
  <c r="F17" i="2"/>
  <c r="L16" i="2"/>
  <c r="K16" i="2"/>
  <c r="J16" i="2"/>
  <c r="F16" i="2"/>
  <c r="L15" i="2"/>
  <c r="K15" i="2"/>
  <c r="J15" i="2"/>
  <c r="F15" i="2"/>
  <c r="L14" i="2"/>
  <c r="K14" i="2"/>
  <c r="J14" i="2"/>
  <c r="F14" i="2"/>
  <c r="L13" i="2"/>
  <c r="K13" i="2"/>
  <c r="J13" i="2"/>
  <c r="F13" i="2"/>
  <c r="L12" i="2"/>
  <c r="K12" i="2"/>
  <c r="J12" i="2"/>
  <c r="F12" i="2"/>
  <c r="L11" i="2"/>
  <c r="K11" i="2"/>
  <c r="J11" i="2"/>
  <c r="F11" i="2"/>
  <c r="L10" i="2"/>
  <c r="K10" i="2"/>
  <c r="J10" i="2"/>
  <c r="F10" i="2"/>
  <c r="L9" i="2"/>
  <c r="K9" i="2"/>
  <c r="J9" i="2"/>
  <c r="F9" i="2"/>
  <c r="L8" i="2"/>
  <c r="K8" i="2"/>
  <c r="J8" i="2"/>
  <c r="F8" i="2"/>
  <c r="L7" i="2"/>
  <c r="K7" i="2"/>
  <c r="J7" i="2"/>
  <c r="F7" i="2"/>
  <c r="L6" i="2"/>
  <c r="K6" i="2"/>
  <c r="J6" i="2"/>
  <c r="F6" i="2"/>
  <c r="L5" i="2"/>
  <c r="K5" i="2"/>
  <c r="J5" i="2"/>
  <c r="F5" i="2"/>
  <c r="L4" i="2"/>
  <c r="K4" i="2"/>
  <c r="J4" i="2"/>
  <c r="F4" i="2"/>
  <c r="L3" i="2"/>
  <c r="K3" i="2"/>
  <c r="J3" i="2"/>
  <c r="F3" i="2"/>
  <c r="F44" i="1"/>
  <c r="J42" i="1"/>
  <c r="I42" i="1"/>
  <c r="D42" i="1"/>
  <c r="C42" i="1"/>
  <c r="J41" i="1"/>
  <c r="I41" i="1"/>
  <c r="D41" i="1"/>
  <c r="C41" i="1"/>
  <c r="O40" i="1"/>
  <c r="J40" i="1"/>
  <c r="I40" i="1"/>
  <c r="D40" i="1"/>
  <c r="C40" i="1"/>
  <c r="K38" i="1"/>
  <c r="J38" i="1"/>
  <c r="I38" i="1"/>
  <c r="H38" i="1"/>
  <c r="G38" i="1"/>
  <c r="F38" i="1"/>
  <c r="E38" i="1"/>
  <c r="K37" i="1"/>
  <c r="J37" i="1"/>
  <c r="I37" i="1"/>
  <c r="H37" i="1"/>
  <c r="G37" i="1"/>
  <c r="F37" i="1"/>
  <c r="E37" i="1"/>
  <c r="K36" i="1"/>
  <c r="J36" i="1"/>
  <c r="I36" i="1"/>
  <c r="H36" i="1"/>
  <c r="G36" i="1"/>
  <c r="F36" i="1"/>
  <c r="E36" i="1"/>
  <c r="K35" i="1"/>
  <c r="J35" i="1"/>
  <c r="I35" i="1"/>
  <c r="H35" i="1"/>
  <c r="G35" i="1"/>
  <c r="F35" i="1"/>
  <c r="E35" i="1"/>
  <c r="K34" i="1"/>
  <c r="J34" i="1"/>
  <c r="I34" i="1"/>
  <c r="H34" i="1"/>
  <c r="G34" i="1"/>
  <c r="F34" i="1"/>
  <c r="E34" i="1"/>
  <c r="K33" i="1"/>
  <c r="J33" i="1"/>
  <c r="I33" i="1"/>
  <c r="H33" i="1"/>
  <c r="G33" i="1"/>
  <c r="F33" i="1"/>
  <c r="E33" i="1"/>
  <c r="K32" i="1"/>
  <c r="J32" i="1"/>
  <c r="I32" i="1"/>
  <c r="H32" i="1"/>
  <c r="G32" i="1"/>
  <c r="F32" i="1"/>
  <c r="E32" i="1"/>
  <c r="K31" i="1"/>
  <c r="J31" i="1"/>
  <c r="I31" i="1"/>
  <c r="H31" i="1"/>
  <c r="G31" i="1"/>
  <c r="F31" i="1"/>
  <c r="E31" i="1"/>
  <c r="K30" i="1"/>
  <c r="J30" i="1"/>
  <c r="I30" i="1"/>
  <c r="H30" i="1"/>
  <c r="G30" i="1"/>
  <c r="F30" i="1"/>
  <c r="E30" i="1"/>
  <c r="K29" i="1"/>
  <c r="J29" i="1"/>
  <c r="I29" i="1"/>
  <c r="H29" i="1"/>
  <c r="G29" i="1"/>
  <c r="F29" i="1"/>
  <c r="E29" i="1"/>
  <c r="K28" i="1"/>
  <c r="J28" i="1"/>
  <c r="I28" i="1"/>
  <c r="H28" i="1"/>
  <c r="G28" i="1"/>
  <c r="F28" i="1"/>
  <c r="E28" i="1"/>
  <c r="K27" i="1"/>
  <c r="J27" i="1"/>
  <c r="I27" i="1"/>
  <c r="H27" i="1"/>
  <c r="G27" i="1"/>
  <c r="F27" i="1"/>
  <c r="E27" i="1"/>
  <c r="K26" i="1"/>
  <c r="J26" i="1"/>
  <c r="I26" i="1"/>
  <c r="H26" i="1"/>
  <c r="G26" i="1"/>
  <c r="F26" i="1"/>
  <c r="E26" i="1"/>
  <c r="K25" i="1"/>
  <c r="J25" i="1"/>
  <c r="I25" i="1"/>
  <c r="H25" i="1"/>
  <c r="G25" i="1"/>
  <c r="F25" i="1"/>
  <c r="E25" i="1"/>
  <c r="K24" i="1"/>
  <c r="J24" i="1"/>
  <c r="I24" i="1"/>
  <c r="H24" i="1"/>
  <c r="G24" i="1"/>
  <c r="F24" i="1"/>
  <c r="E24" i="1"/>
  <c r="K23" i="1"/>
  <c r="J23" i="1"/>
  <c r="I23" i="1"/>
  <c r="H23" i="1"/>
  <c r="G23" i="1"/>
  <c r="F23" i="1"/>
  <c r="E23" i="1"/>
  <c r="K22" i="1"/>
  <c r="J22" i="1"/>
  <c r="I22" i="1"/>
  <c r="H22" i="1"/>
  <c r="G22" i="1"/>
  <c r="F22" i="1"/>
  <c r="E22" i="1"/>
  <c r="K21" i="1"/>
  <c r="J21" i="1"/>
  <c r="I21" i="1"/>
  <c r="H21" i="1"/>
  <c r="G21" i="1"/>
  <c r="F21" i="1"/>
  <c r="E21" i="1"/>
  <c r="K20" i="1"/>
  <c r="J20" i="1"/>
  <c r="I20" i="1"/>
  <c r="H20" i="1"/>
  <c r="G20" i="1"/>
  <c r="F20" i="1"/>
  <c r="E20" i="1"/>
  <c r="K19" i="1"/>
  <c r="J19" i="1"/>
  <c r="I19" i="1"/>
  <c r="H19" i="1"/>
  <c r="G19" i="1"/>
  <c r="F19" i="1"/>
  <c r="E19" i="1"/>
  <c r="K18" i="1"/>
  <c r="J18" i="1"/>
  <c r="I18" i="1"/>
  <c r="H18" i="1"/>
  <c r="G18" i="1"/>
  <c r="F18" i="1"/>
  <c r="E18" i="1"/>
  <c r="K17" i="1"/>
  <c r="J17" i="1"/>
  <c r="I17" i="1"/>
  <c r="H17" i="1"/>
  <c r="G17" i="1"/>
  <c r="F17" i="1"/>
  <c r="E17" i="1"/>
  <c r="K16" i="1"/>
  <c r="J16" i="1"/>
  <c r="I16" i="1"/>
  <c r="H16" i="1"/>
  <c r="G16" i="1"/>
  <c r="F16" i="1"/>
  <c r="E16" i="1"/>
  <c r="K15" i="1"/>
  <c r="J15" i="1"/>
  <c r="I15" i="1"/>
  <c r="H15" i="1"/>
  <c r="G15" i="1"/>
  <c r="F15" i="1"/>
  <c r="E15" i="1"/>
  <c r="K14" i="1"/>
  <c r="J14" i="1"/>
  <c r="I14" i="1"/>
  <c r="H14" i="1"/>
  <c r="G14" i="1"/>
  <c r="F14" i="1"/>
  <c r="E14" i="1"/>
  <c r="K13" i="1"/>
  <c r="J13" i="1"/>
  <c r="I13" i="1"/>
  <c r="H13" i="1"/>
  <c r="G13" i="1"/>
  <c r="F13" i="1"/>
  <c r="E13" i="1"/>
  <c r="K12" i="1"/>
  <c r="J12" i="1"/>
  <c r="I12" i="1"/>
  <c r="H12" i="1"/>
  <c r="G12" i="1"/>
  <c r="F12" i="1"/>
  <c r="E12" i="1"/>
  <c r="K11" i="1"/>
  <c r="J11" i="1"/>
  <c r="I11" i="1"/>
  <c r="H11" i="1"/>
  <c r="G11" i="1"/>
  <c r="F11" i="1"/>
  <c r="E11" i="1"/>
  <c r="K10" i="1"/>
  <c r="J10" i="1"/>
  <c r="I10" i="1"/>
  <c r="H10" i="1"/>
  <c r="G10" i="1"/>
  <c r="F10" i="1"/>
  <c r="E10" i="1"/>
  <c r="K9" i="1"/>
  <c r="J9" i="1"/>
  <c r="I9" i="1"/>
  <c r="H9" i="1"/>
  <c r="G9" i="1"/>
  <c r="F9" i="1"/>
  <c r="E9" i="1"/>
  <c r="K8" i="1"/>
  <c r="J8" i="1"/>
  <c r="I8" i="1"/>
  <c r="H8" i="1"/>
  <c r="G8" i="1"/>
  <c r="F8" i="1"/>
  <c r="E8" i="1"/>
  <c r="K7" i="1"/>
  <c r="J7" i="1"/>
  <c r="I7" i="1"/>
  <c r="H7" i="1"/>
  <c r="G7" i="1"/>
  <c r="F7" i="1"/>
  <c r="E7" i="1"/>
  <c r="C5" i="1"/>
</calcChain>
</file>

<file path=xl/sharedStrings.xml><?xml version="1.0" encoding="utf-8"?>
<sst xmlns="http://schemas.openxmlformats.org/spreadsheetml/2006/main" count="1088" uniqueCount="226">
  <si>
    <t>TRƯỜNG ĐẠI HỌC SƯ PHẠM KỸ THUẬT HƯNG YÊN</t>
  </si>
  <si>
    <t>CỘNG HÒA XÃ HỘI CHỦ NGHĨA VIỆT NAM</t>
  </si>
  <si>
    <t>KHOA CÔNG NGHỆ THÔNG TIN</t>
  </si>
  <si>
    <t>Độc lập - Tự do - Hạnh phúc</t>
  </si>
  <si>
    <t>BẢNG TỔNG HỢP ĐIỂM RÈN LUYỆN</t>
  </si>
  <si>
    <t xml:space="preserve">Mã lớp: </t>
  </si>
  <si>
    <t>STT</t>
  </si>
  <si>
    <t>Mã HSSV</t>
  </si>
  <si>
    <t>Họ và tên</t>
  </si>
  <si>
    <t>Ngày sinh</t>
  </si>
  <si>
    <t>Tiêu chuẩn 1</t>
  </si>
  <si>
    <t>Tiêu chuẩn 2</t>
  </si>
  <si>
    <t>Tiêu chuẩn 3</t>
  </si>
  <si>
    <t>Tiêu chuẩn 4</t>
  </si>
  <si>
    <t>Tiêu chuẩn 5</t>
  </si>
  <si>
    <t xml:space="preserve">Tổng </t>
  </si>
  <si>
    <t>Xếp Loại</t>
  </si>
  <si>
    <t>1. Nhập mã lớp vào ô B5</t>
  </si>
  <si>
    <t>2. Copy DSSV vào cột B, C, D</t>
  </si>
  <si>
    <t xml:space="preserve">Loại Xuất sắc </t>
  </si>
  <si>
    <t>Loại T.Bình</t>
  </si>
  <si>
    <t xml:space="preserve">Loại Tốt </t>
  </si>
  <si>
    <t>Loại Yếu</t>
  </si>
  <si>
    <t>Loại Khá</t>
  </si>
  <si>
    <t>Loại Kém</t>
  </si>
  <si>
    <t>TRƯỞNG KHOA</t>
  </si>
  <si>
    <t>GVCN LỚP</t>
  </si>
  <si>
    <t>LỚP TRƯỞNG</t>
  </si>
  <si>
    <t>Điểm TB</t>
  </si>
  <si>
    <t>Số TC học lại</t>
  </si>
  <si>
    <t>% học lại</t>
  </si>
  <si>
    <t>Ý thức và thái độ trong học tập</t>
  </si>
  <si>
    <t>Ý thức và thái độ tham gia các câu lạc bộ học thuật, các hoạt động học thuật, hoạt động ngoại khóa, hoạt động nghiên cứu khoa học.</t>
  </si>
  <si>
    <t>Ý thức và thái độ tham gia các kỳ thi, cuộc thi</t>
  </si>
  <si>
    <t>Tinh thần vượt khó, vươn lên trong học tập</t>
  </si>
  <si>
    <t>Kết quả học tập</t>
  </si>
  <si>
    <t>Tổng điểm</t>
  </si>
  <si>
    <t>Thành viên CLB: max 3; NCKH khoa: 1; NCKH trường: 2-3</t>
  </si>
  <si>
    <t>Tham gia đầy đủ: 1; Olympic trg: 1; Khoá học: 1; Olympic tỉnh: 2</t>
  </si>
  <si>
    <t>1. Nhập điểm TB của SV vào cột D</t>
  </si>
  <si>
    <t>2. GV tự tính số TC học lại (đã có công thức tính tại cột BM, sheet DTB), ghi vào cột E</t>
  </si>
  <si>
    <t>3. Cột G, H, I GV tự nhập</t>
  </si>
  <si>
    <t>4. Tổng số tín chỉ trong kỳ, điền vào cột F2</t>
  </si>
  <si>
    <t>Ý thức chấp hành văn bản, chỉ đạo của nhà trường</t>
  </si>
  <si>
    <t>ý thức thực hiện quy chế thi, kiểm tra</t>
  </si>
  <si>
    <t>Thực hiện tốt nghĩa vụ của SV trong nhà trường (học phí, BH)</t>
  </si>
  <si>
    <t>Thực hiện tốt quy chế nội trú, ngoại trú</t>
  </si>
  <si>
    <t>Thực hiện tốt vệ sinh môi trường, nơi ở</t>
  </si>
  <si>
    <t>Ý thức học tập, trau dồi kỹ năng sống</t>
  </si>
  <si>
    <t>Tổng điểm TC 2</t>
  </si>
  <si>
    <t>1. GV copy DSSV vào cột B, C</t>
  </si>
  <si>
    <t>2. Nếu SV nợ học phí hoặc chưa nộp bảo hiểm tiêu chuẩn 2 trừ 6 điểm</t>
  </si>
  <si>
    <t>Tham gia sinh hoạt tuần công dân, các hoạt động nhà trường tổ chức</t>
  </si>
  <si>
    <t>Ý thức tham gia các hoạt động công ích, tình nguyện</t>
  </si>
  <si>
    <t>Tham gia tuyên truyền, phòng chống tội phạm'</t>
  </si>
  <si>
    <t>Tổng điểm TC 3</t>
  </si>
  <si>
    <t>Tham gia SHCD: 5; tham gia cuộc thi, VHVN, TDTT: 5</t>
  </si>
  <si>
    <t>Like, share: 1; hoạt động cấp khoa: 3; hoạt động cấp trường: 5</t>
  </si>
  <si>
    <t>Không vi phạm: 3; Tuyên truyền: 2</t>
  </si>
  <si>
    <t>1. Mục III.1: SV không làm bài thu hoạch/trượt, trừ 5 đ còn ko đánh giá 10đ</t>
  </si>
  <si>
    <t>2. Mục III.2: mặc định SV được cộng 3đ,. Nếu có tên trong DS của Đoàn cung cấp (III.1; III.2) cộng thêm 2đ thành 5đ</t>
  </si>
  <si>
    <t xml:space="preserve">3.Mục III.3:  mặc định SV được cộng 5đ </t>
  </si>
  <si>
    <t>ĐTB</t>
  </si>
  <si>
    <t>Ý thức chấp hành, tuyên truyền chủ trương của Đảng</t>
  </si>
  <si>
    <t>Ý thức tham gia các hoạt động xã hội</t>
  </si>
  <si>
    <t>Công tác từ thiện</t>
  </si>
  <si>
    <t>Tổng điểm TC 4</t>
  </si>
  <si>
    <t>Chấp hành: 8; tham gia tuyên truyền: 2</t>
  </si>
  <si>
    <t>tham gia 1 ngày: 2; tham gia 2-4 ngày: 5; tham gia &gt;5 ngày: 7</t>
  </si>
  <si>
    <t>Tham gia hiến máu: 4; tham gia ủng hộ hoạt động thiện nguyện: 4</t>
  </si>
  <si>
    <t>1. Mục IV.1: Nếu nợ học phí hoặc chưa nộp bảo hiểm, trừ 10 điểm. Còn ko vi phạm để 10đ</t>
  </si>
  <si>
    <t xml:space="preserve">2. Mục IV.2: Mặc định SV được 5đ. Nếu có tên trong DS IV.2 của Đoàn thì cộng thêm 2đ thành 7đ </t>
  </si>
  <si>
    <t xml:space="preserve">3. Mục IV.3:  Mặc định SV được 4đ. Nếu có tên trong DS IV.3 của Đoàn thì cộng thêm 4đ thành 8đ </t>
  </si>
  <si>
    <t>Cán bộ lớp, cán bộ đoàn</t>
  </si>
  <si>
    <t>SV đạt thành tích đặc biệt</t>
  </si>
  <si>
    <t>Tổng điểm TC 5</t>
  </si>
  <si>
    <t>CBL/CBĐ: 5; Mức độ HT: XS(5), tốt (3), hoàn thành (2), không HT (0)</t>
  </si>
  <si>
    <t>Xuất sắc; đạt giải kỳ thi tỉnh, bộ, quốc gia; NCKH, khởi nghiệp cấp trường giải ba trở lên; bằng khen của tỉnh, bộ, ngành, đoàn hội; hoạt động địa phương về đổi mới sáng tạo, chuyển đổi số (10)</t>
  </si>
  <si>
    <t>1. Nếu SV là CBL, CBĐ thì mặc định 5đ, GVCN xem mức độ hoàn thành công việc để tự cho lên 7, 8 hoặc 10 điểm</t>
  </si>
  <si>
    <t>2. Nếu SV có điểm TB &gt;=9 thì đc 10 điểm</t>
  </si>
  <si>
    <t>3. SV đạt thành tích đặc biệt thì đánh dấu x vào cột F</t>
  </si>
  <si>
    <t>x</t>
  </si>
  <si>
    <t>KẾT QUẢ HỌC TẬP KỲ</t>
  </si>
  <si>
    <t>TỔNG HỢP ĐIỂM HỌC KỲ</t>
  </si>
  <si>
    <t>DANH SÁCH HỌC PHẦN</t>
  </si>
  <si>
    <t>KẾT QUẢ HỌC TẬP</t>
  </si>
  <si>
    <t>KỲ THỨ</t>
  </si>
  <si>
    <t>5</t>
  </si>
  <si>
    <t>MÔN HỌC</t>
  </si>
  <si>
    <t>211231- Đồ án 2</t>
  </si>
  <si>
    <t>211124- Lập trình Mobile cơ bản (2+1*)</t>
  </si>
  <si>
    <t>211034- Phân tích thiết kế hướng đối tượng với UML(2+1*)</t>
  </si>
  <si>
    <t>211125- Phát triển phần mềm hướng dịch vụ (2+1*)</t>
  </si>
  <si>
    <t>151140- Tiếng Anh 2</t>
  </si>
  <si>
    <t>211011- Toán rời rạc</t>
  </si>
  <si>
    <t>911504- Tư tưởng Hồ Chí Minh</t>
  </si>
  <si>
    <t>121249- Vật lý kỹ thuật</t>
  </si>
  <si>
    <t>SỐ TÍN CHỈ</t>
  </si>
  <si>
    <t>3</t>
  </si>
  <si>
    <t>2</t>
  </si>
  <si>
    <t>4</t>
  </si>
  <si>
    <t>Mã SV</t>
  </si>
  <si>
    <t>Lớp</t>
  </si>
  <si>
    <t>Đ1</t>
  </si>
  <si>
    <t>Đ2</t>
  </si>
  <si>
    <t>Thi</t>
  </si>
  <si>
    <t>H10</t>
  </si>
  <si>
    <t>Chữ</t>
  </si>
  <si>
    <t>Số</t>
  </si>
  <si>
    <t>Ghi chú</t>
  </si>
  <si>
    <t>TH/TN</t>
  </si>
  <si>
    <t>BT</t>
  </si>
  <si>
    <t>TT</t>
  </si>
  <si>
    <t>KT</t>
  </si>
  <si>
    <t>CC</t>
  </si>
  <si>
    <t>GHP</t>
  </si>
  <si>
    <t>TBCHT H4</t>
  </si>
  <si>
    <t>TBCTL H4</t>
  </si>
  <si>
    <t>TBCHT H10</t>
  </si>
  <si>
    <t>Xếp loại</t>
  </si>
  <si>
    <t>Số.TC TLuỹ</t>
  </si>
  <si>
    <t>Số.TC HT</t>
  </si>
  <si>
    <t>HP Nợ</t>
  </si>
  <si>
    <t>TC nợ</t>
  </si>
  <si>
    <t>10122007</t>
  </si>
  <si>
    <t>ĐÀO THẾ ANH</t>
  </si>
  <si>
    <t>12522W.3</t>
  </si>
  <si>
    <t>7</t>
  </si>
  <si>
    <t>6</t>
  </si>
  <si>
    <t>C+</t>
  </si>
  <si>
    <t>6.3</t>
  </si>
  <si>
    <t>6.9</t>
  </si>
  <si>
    <t>6.1</t>
  </si>
  <si>
    <t>7.1</t>
  </si>
  <si>
    <t>B</t>
  </si>
  <si>
    <t>D+</t>
  </si>
  <si>
    <t>1</t>
  </si>
  <si>
    <t>10</t>
  </si>
  <si>
    <t>7.3</t>
  </si>
  <si>
    <t>8</t>
  </si>
  <si>
    <t>6.5</t>
  </si>
  <si>
    <t>9</t>
  </si>
  <si>
    <t>7.7</t>
  </si>
  <si>
    <t>7.5</t>
  </si>
  <si>
    <t>9.5</t>
  </si>
  <si>
    <t>TB Khá</t>
  </si>
  <si>
    <t>10122032</t>
  </si>
  <si>
    <t>PHẠM THẾ ANH</t>
  </si>
  <si>
    <t>7.8</t>
  </si>
  <si>
    <t>6.2</t>
  </si>
  <si>
    <t>5.9</t>
  </si>
  <si>
    <t>C</t>
  </si>
  <si>
    <t>0</t>
  </si>
  <si>
    <t>0(K)</t>
  </si>
  <si>
    <t>F</t>
  </si>
  <si>
    <t>9.6</t>
  </si>
  <si>
    <t>7.2</t>
  </si>
  <si>
    <t>7.9</t>
  </si>
  <si>
    <t>6.4</t>
  </si>
  <si>
    <t>10121480</t>
  </si>
  <si>
    <t>NGUYỄN TIẾN DŨNG</t>
  </si>
  <si>
    <t>5.6</t>
  </si>
  <si>
    <t>2.1(K)</t>
  </si>
  <si>
    <t>10122097</t>
  </si>
  <si>
    <t>NGUYỄN VĂN DƯƠNG</t>
  </si>
  <si>
    <t>5.5</t>
  </si>
  <si>
    <t>6.7</t>
  </si>
  <si>
    <t>5.8</t>
  </si>
  <si>
    <t>7.6</t>
  </si>
  <si>
    <t>8.1</t>
  </si>
  <si>
    <t>B+</t>
  </si>
  <si>
    <t>8.5</t>
  </si>
  <si>
    <t>10122084</t>
  </si>
  <si>
    <t>NGUYỄN ĐỨC DUY</t>
  </si>
  <si>
    <t>8.4</t>
  </si>
  <si>
    <t>9.2</t>
  </si>
  <si>
    <t>A+</t>
  </si>
  <si>
    <t>8.2</t>
  </si>
  <si>
    <t>A</t>
  </si>
  <si>
    <t>8.7</t>
  </si>
  <si>
    <t>8.3</t>
  </si>
  <si>
    <t>Giỏi</t>
  </si>
  <si>
    <t>10122085</t>
  </si>
  <si>
    <t>Khá</t>
  </si>
  <si>
    <t>10122088</t>
  </si>
  <si>
    <t>PHẠM NGỌC DUY</t>
  </si>
  <si>
    <t>7.4</t>
  </si>
  <si>
    <t>6.6</t>
  </si>
  <si>
    <t>10122122</t>
  </si>
  <si>
    <t>HOÀNG HẢI ĐĂNG</t>
  </si>
  <si>
    <t>5.7(L)</t>
  </si>
  <si>
    <t>10122128</t>
  </si>
  <si>
    <t>TĂNG VĂN ĐỨC</t>
  </si>
  <si>
    <t>6.8</t>
  </si>
  <si>
    <t>9.9</t>
  </si>
  <si>
    <t>12522026</t>
  </si>
  <si>
    <t>HOÀNG VĂN HẢO</t>
  </si>
  <si>
    <t>10122173</t>
  </si>
  <si>
    <t>TRƯƠNG THU HOÀI</t>
  </si>
  <si>
    <t>10122233</t>
  </si>
  <si>
    <t>VŨ HOÀNG LINH</t>
  </si>
  <si>
    <t>4.3(L)</t>
  </si>
  <si>
    <t>Trung bình</t>
  </si>
  <si>
    <t>10122234</t>
  </si>
  <si>
    <t>CAO PHI LONG</t>
  </si>
  <si>
    <t>8.9</t>
  </si>
  <si>
    <t>10122262</t>
  </si>
  <si>
    <t>PHẠM ĐỨC MINH</t>
  </si>
  <si>
    <t>12522069</t>
  </si>
  <si>
    <t>NGUYỄN ĐỨC HẢI NAM</t>
  </si>
  <si>
    <t>10122290</t>
  </si>
  <si>
    <t>DƯƠNG NGUYỄN GIA PHÚ</t>
  </si>
  <si>
    <t>12522087</t>
  </si>
  <si>
    <t>PHẠM ĐÌNH SƠN</t>
  </si>
  <si>
    <t>10122368</t>
  </si>
  <si>
    <t>LÊ MINH TRÍ</t>
  </si>
  <si>
    <t>8.6</t>
  </si>
  <si>
    <t>10122382</t>
  </si>
  <si>
    <t>NGUYỄN VĂN TRƯỞNG</t>
  </si>
  <si>
    <t>10122392</t>
  </si>
  <si>
    <t>NGUYỄN MINH TUẤN</t>
  </si>
  <si>
    <t>5.4(L)</t>
  </si>
  <si>
    <t>11222286</t>
  </si>
  <si>
    <t>NGUYỄN THANH TÙNG</t>
  </si>
  <si>
    <t>11022222</t>
  </si>
  <si>
    <t>PHẠM HUY VINH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</si>
</sst>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#,##0.0"/>
  </numFmts>
  <fonts count="27">
    <font>
      <sz val="10"/>
      <name val="Arial"/>
      <charset val="134"/>
    </font>
    <font>
      <sz val="11"/>
      <color theme="1"/>
      <name val="Calibri"/>
      <charset val="134"/>
      <scheme val="minor"/>
    </font>
    <font>
      <b/>
      <sz val="8.25"/>
      <color rgb="FF1E395B"/>
      <name val="Tahoma"/>
      <charset val="134"/>
    </font>
    <font>
      <sz val="8.25"/>
      <color rgb="FF000000"/>
      <name val="Tahoma"/>
      <charset val="134"/>
    </font>
    <font>
      <b/>
      <sz val="12"/>
      <name val="Times New Roman"/>
      <charset val="134"/>
    </font>
    <font>
      <sz val="10"/>
      <name val="Times New Roman"/>
      <charset val="134"/>
    </font>
    <font>
      <sz val="11"/>
      <color rgb="FF000000"/>
      <name val="Times New Roman"/>
      <charset val="134"/>
    </font>
    <font>
      <sz val="12"/>
      <color rgb="FFFF0000"/>
      <name val="Arial"/>
      <charset val="134"/>
    </font>
    <font>
      <b/>
      <sz val="10"/>
      <color rgb="FF000000"/>
      <name val="Times New Roman"/>
      <charset val="134"/>
    </font>
    <font>
      <b/>
      <sz val="10"/>
      <name val="Times New Roman"/>
      <charset val="134"/>
    </font>
    <font>
      <sz val="10"/>
      <color theme="1"/>
      <name val="Times New Roman"/>
      <charset val="134"/>
    </font>
    <font>
      <b/>
      <sz val="13"/>
      <name val="Times New Roman"/>
      <charset val="163"/>
    </font>
    <font>
      <sz val="13"/>
      <name val="Times New Roman"/>
      <charset val="163"/>
    </font>
    <font>
      <sz val="12"/>
      <name val="Times New Roman"/>
      <charset val="163"/>
    </font>
    <font>
      <b/>
      <sz val="12"/>
      <name val="Times New Roman"/>
      <charset val="163"/>
    </font>
    <font>
      <b/>
      <sz val="11"/>
      <name val="Times New Roman"/>
      <charset val="134"/>
    </font>
    <font>
      <sz val="11"/>
      <name val="Times New Roman"/>
      <charset val="134"/>
    </font>
    <font>
      <sz val="11"/>
      <color theme="1"/>
      <name val="Times New Roman"/>
      <charset val="134"/>
    </font>
    <font>
      <sz val="12"/>
      <name val=".VnTime"/>
      <charset val="134"/>
    </font>
    <font>
      <sz val="11"/>
      <color theme="1"/>
      <name val=".VnTime"/>
      <charset val="134"/>
    </font>
    <font>
      <sz val="12"/>
      <name val="Times New Roman"/>
      <charset val="134"/>
    </font>
    <font>
      <i/>
      <sz val="12"/>
      <name val="Times New Roman"/>
      <charset val="163"/>
    </font>
    <font>
      <i/>
      <sz val="13"/>
      <name val="Times New Roman"/>
      <charset val="163"/>
    </font>
    <font>
      <sz val="13"/>
      <color rgb="FFFF0000"/>
      <name val="Times New Roman"/>
      <charset val="163"/>
    </font>
    <font>
      <sz val="13"/>
      <name val="Times New Roman"/>
      <charset val="134"/>
    </font>
    <font>
      <sz val="12"/>
      <color theme="1"/>
      <name val="Times New Roman"/>
      <charset val="134"/>
    </font>
    <font>
      <sz val="10"/>
      <name val="Arial"/>
      <charset val="134"/>
    </font>
  </fonts>
  <fills count="7">
    <fill>
      <patternFill patternType="none"/>
    </fill>
    <fill>
      <patternFill patternType="gray125"/>
    </fill>
    <fill>
      <patternFill patternType="solid">
        <fgColor rgb="FFB5C8DF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rgb="FF849DBD"/>
      </left>
      <right style="thin">
        <color rgb="FF849DBD"/>
      </right>
      <top style="thin">
        <color rgb="FF849DBD"/>
      </top>
      <bottom style="thin">
        <color rgb="FF849DBD"/>
      </bottom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4">
    <xf numFmtId="0" fontId="0" fillId="0" borderId="0"/>
    <xf numFmtId="9" fontId="26" fillId="0" borderId="0" applyFont="0" applyFill="0" applyBorder="0" applyAlignment="0" applyProtection="0"/>
    <xf numFmtId="0" fontId="25" fillId="0" borderId="0"/>
    <xf numFmtId="0" fontId="1" fillId="0" borderId="0"/>
  </cellStyleXfs>
  <cellXfs count="81">
    <xf numFmtId="0" fontId="0" fillId="0" borderId="0" xfId="0"/>
    <xf numFmtId="0" fontId="1" fillId="0" borderId="0" xfId="3"/>
    <xf numFmtId="49" fontId="3" fillId="3" borderId="2" xfId="3" applyNumberFormat="1" applyFont="1" applyFill="1" applyBorder="1" applyAlignment="1">
      <alignment horizontal="center" vertical="center" readingOrder="1"/>
    </xf>
    <xf numFmtId="49" fontId="3" fillId="4" borderId="2" xfId="3" applyNumberFormat="1" applyFont="1" applyFill="1" applyBorder="1" applyAlignment="1">
      <alignment horizontal="left" vertical="center" readingOrder="1"/>
    </xf>
    <xf numFmtId="14" fontId="3" fillId="4" borderId="2" xfId="3" applyNumberFormat="1" applyFont="1" applyFill="1" applyBorder="1" applyAlignment="1">
      <alignment horizontal="left" vertical="center" readingOrder="1"/>
    </xf>
    <xf numFmtId="168" fontId="3" fillId="4" borderId="2" xfId="3" applyNumberFormat="1" applyFont="1" applyFill="1" applyBorder="1" applyAlignment="1">
      <alignment horizontal="left" vertical="center" readingOrder="1"/>
    </xf>
    <xf numFmtId="49" fontId="3" fillId="5" borderId="2" xfId="3" applyNumberFormat="1" applyFont="1" applyFill="1" applyBorder="1" applyAlignment="1">
      <alignment horizontal="left" vertical="center" readingOrder="1"/>
    </xf>
    <xf numFmtId="4" fontId="3" fillId="4" borderId="2" xfId="3" applyNumberFormat="1" applyFont="1" applyFill="1" applyBorder="1" applyAlignment="1">
      <alignment horizontal="right" vertical="center" readingOrder="1"/>
    </xf>
    <xf numFmtId="0" fontId="3" fillId="4" borderId="2" xfId="3" applyFont="1" applyFill="1" applyBorder="1" applyAlignment="1">
      <alignment horizontal="right" vertical="center" readingOrder="1"/>
    </xf>
    <xf numFmtId="49" fontId="3" fillId="6" borderId="2" xfId="3" applyNumberFormat="1" applyFont="1" applyFill="1" applyBorder="1" applyAlignment="1">
      <alignment horizontal="center" vertical="center" readingOrder="1"/>
    </xf>
    <xf numFmtId="0" fontId="3" fillId="6" borderId="2" xfId="3" applyFont="1" applyFill="1" applyBorder="1" applyAlignment="1">
      <alignment horizontal="right" vertical="center" readingOrder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5" fillId="0" borderId="4" xfId="2" applyFont="1" applyBorder="1" applyAlignment="1">
      <alignment horizontal="center" vertical="center"/>
    </xf>
    <xf numFmtId="49" fontId="6" fillId="6" borderId="4" xfId="0" applyNumberFormat="1" applyFont="1" applyFill="1" applyBorder="1" applyAlignment="1">
      <alignment horizontal="left" vertical="center" readingOrder="1"/>
    </xf>
    <xf numFmtId="49" fontId="6" fillId="4" borderId="4" xfId="0" applyNumberFormat="1" applyFont="1" applyFill="1" applyBorder="1" applyAlignment="1">
      <alignment horizontal="left" vertical="center" readingOrder="1"/>
    </xf>
    <xf numFmtId="4" fontId="3" fillId="4" borderId="4" xfId="0" applyNumberFormat="1" applyFont="1" applyFill="1" applyBorder="1" applyAlignment="1">
      <alignment horizontal="right" vertical="center" readingOrder="1"/>
    </xf>
    <xf numFmtId="0" fontId="0" fillId="6" borderId="4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4" xfId="0" applyBorder="1"/>
    <xf numFmtId="0" fontId="7" fillId="0" borderId="0" xfId="0" applyFont="1"/>
    <xf numFmtId="0" fontId="0" fillId="0" borderId="0" xfId="0" applyAlignment="1">
      <alignment wrapText="1"/>
    </xf>
    <xf numFmtId="0" fontId="5" fillId="0" borderId="5" xfId="2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 readingOrder="1"/>
    </xf>
    <xf numFmtId="0" fontId="0" fillId="6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7" fillId="0" borderId="6" xfId="0" applyFont="1" applyBorder="1" applyAlignment="1">
      <alignment horizontal="left" vertical="center"/>
    </xf>
    <xf numFmtId="49" fontId="6" fillId="4" borderId="0" xfId="0" applyNumberFormat="1" applyFont="1" applyFill="1" applyAlignment="1">
      <alignment horizontal="left" vertical="center" readingOrder="1"/>
    </xf>
    <xf numFmtId="0" fontId="4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/>
    </xf>
    <xf numFmtId="0" fontId="9" fillId="0" borderId="9" xfId="0" applyFont="1" applyBorder="1" applyAlignment="1">
      <alignment horizontal="center" vertical="center" wrapText="1"/>
    </xf>
    <xf numFmtId="4" fontId="3" fillId="6" borderId="4" xfId="0" applyNumberFormat="1" applyFont="1" applyFill="1" applyBorder="1" applyAlignment="1">
      <alignment horizontal="right" vertical="center" readingOrder="1"/>
    </xf>
    <xf numFmtId="9" fontId="10" fillId="0" borderId="4" xfId="1" applyFont="1" applyBorder="1"/>
    <xf numFmtId="0" fontId="5" fillId="6" borderId="4" xfId="0" applyFont="1" applyFill="1" applyBorder="1"/>
    <xf numFmtId="3" fontId="3" fillId="6" borderId="4" xfId="0" applyNumberFormat="1" applyFont="1" applyFill="1" applyBorder="1" applyAlignment="1">
      <alignment horizontal="right" vertical="center" readingOrder="1"/>
    </xf>
    <xf numFmtId="0" fontId="4" fillId="0" borderId="8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0" fontId="5" fillId="0" borderId="4" xfId="0" applyFont="1" applyBorder="1"/>
    <xf numFmtId="0" fontId="11" fillId="0" borderId="0" xfId="0" applyFont="1"/>
    <xf numFmtId="0" fontId="12" fillId="0" borderId="0" xfId="0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16" fillId="6" borderId="0" xfId="0" applyFont="1" applyFill="1" applyAlignment="1">
      <alignment horizontal="left"/>
    </xf>
    <xf numFmtId="0" fontId="16" fillId="0" borderId="0" xfId="0" applyFont="1"/>
    <xf numFmtId="0" fontId="16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 textRotation="90"/>
    </xf>
    <xf numFmtId="0" fontId="16" fillId="0" borderId="4" xfId="2" applyFont="1" applyBorder="1" applyAlignment="1">
      <alignment horizontal="center" vertical="center"/>
    </xf>
    <xf numFmtId="14" fontId="6" fillId="6" borderId="4" xfId="0" applyNumberFormat="1" applyFont="1" applyFill="1" applyBorder="1" applyAlignment="1">
      <alignment horizontal="left" vertical="center" readingOrder="1"/>
    </xf>
    <xf numFmtId="0" fontId="17" fillId="0" borderId="4" xfId="2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13" fillId="0" borderId="0" xfId="0" applyFont="1" applyAlignment="1">
      <alignment vertical="center"/>
    </xf>
    <xf numFmtId="10" fontId="13" fillId="0" borderId="0" xfId="0" applyNumberFormat="1" applyFont="1" applyAlignment="1">
      <alignment vertical="center"/>
    </xf>
    <xf numFmtId="0" fontId="13" fillId="0" borderId="0" xfId="0" applyFont="1"/>
    <xf numFmtId="0" fontId="13" fillId="0" borderId="0" xfId="0" applyFont="1" applyAlignment="1">
      <alignment horizontal="left" vertical="center"/>
    </xf>
    <xf numFmtId="0" fontId="16" fillId="0" borderId="0" xfId="0" applyFont="1" applyAlignment="1">
      <alignment horizontal="center"/>
    </xf>
    <xf numFmtId="0" fontId="16" fillId="0" borderId="4" xfId="0" applyFont="1" applyBorder="1" applyAlignment="1">
      <alignment horizontal="center" vertical="center" shrinkToFit="1"/>
    </xf>
    <xf numFmtId="0" fontId="23" fillId="0" borderId="0" xfId="0" applyFont="1"/>
    <xf numFmtId="0" fontId="24" fillId="0" borderId="0" xfId="0" applyFont="1"/>
    <xf numFmtId="10" fontId="11" fillId="0" borderId="0" xfId="0" applyNumberFormat="1" applyFont="1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11" fillId="6" borderId="0" xfId="0" applyFont="1" applyFill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49" fontId="2" fillId="2" borderId="1" xfId="3" applyNumberFormat="1" applyFont="1" applyFill="1" applyBorder="1" applyAlignment="1">
      <alignment horizontal="center" vertical="center" readingOrder="1"/>
    </xf>
    <xf numFmtId="49" fontId="3" fillId="3" borderId="2" xfId="3" applyNumberFormat="1" applyFont="1" applyFill="1" applyBorder="1" applyAlignment="1">
      <alignment horizontal="center" vertical="center" readingOrder="1"/>
    </xf>
  </cellXfs>
  <cellStyles count="4">
    <cellStyle name="Normal" xfId="0" builtinId="0"/>
    <cellStyle name="Normal 2" xfId="2" xr:uid="{00000000-0005-0000-0000-000031000000}"/>
    <cellStyle name="Normal 3" xfId="3" xr:uid="{00000000-0005-0000-0000-000032000000}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293370</xdr:colOff>
      <xdr:row>2</xdr:row>
      <xdr:rowOff>5715</xdr:rowOff>
    </xdr:from>
    <xdr:to>
      <xdr:col>10</xdr:col>
      <xdr:colOff>99060</xdr:colOff>
      <xdr:row>2</xdr:row>
      <xdr:rowOff>5715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CxnSpPr/>
      </xdr:nvCxnSpPr>
      <xdr:spPr>
        <a:xfrm>
          <a:off x="4625975" y="424815"/>
          <a:ext cx="218376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657225</xdr:colOff>
      <xdr:row>2</xdr:row>
      <xdr:rowOff>5715</xdr:rowOff>
    </xdr:from>
    <xdr:to>
      <xdr:col>2</xdr:col>
      <xdr:colOff>1400175</xdr:colOff>
      <xdr:row>2</xdr:row>
      <xdr:rowOff>5715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CxnSpPr/>
      </xdr:nvCxnSpPr>
      <xdr:spPr>
        <a:xfrm>
          <a:off x="1245870" y="424815"/>
          <a:ext cx="155384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topLeftCell="A33" workbookViewId="0">
      <selection activeCell="T41" sqref="T41"/>
    </sheetView>
  </sheetViews>
  <sheetFormatPr defaultColWidth="9.140625" defaultRowHeight="16.5"/>
  <cols>
    <col min="1" max="1" width="8.85546875" style="42" customWidth="1"/>
    <col min="2" max="2" width="12.140625" style="42" customWidth="1"/>
    <col min="3" max="3" width="24.140625" style="43" customWidth="1"/>
    <col min="4" max="4" width="12.85546875" style="43" customWidth="1"/>
    <col min="5" max="5" width="7" style="43" customWidth="1"/>
    <col min="6" max="8" width="6.28515625" style="43" customWidth="1"/>
    <col min="9" max="9" width="7.7109375" style="43" customWidth="1"/>
    <col min="10" max="10" width="9" style="43" customWidth="1"/>
    <col min="11" max="11" width="10.7109375" style="42" customWidth="1"/>
    <col min="12" max="14" width="9.140625" style="43"/>
    <col min="15" max="15" width="10.5703125" style="43" customWidth="1"/>
    <col min="16" max="16384" width="9.140625" style="43"/>
  </cols>
  <sheetData>
    <row r="1" spans="1:13">
      <c r="A1" s="67" t="s">
        <v>0</v>
      </c>
      <c r="B1" s="67"/>
      <c r="C1" s="67"/>
      <c r="D1" s="67"/>
      <c r="E1" s="67" t="s">
        <v>1</v>
      </c>
      <c r="F1" s="67"/>
      <c r="G1" s="67"/>
      <c r="H1" s="67"/>
      <c r="I1" s="67"/>
      <c r="J1" s="67"/>
      <c r="K1" s="67"/>
    </row>
    <row r="2" spans="1:13">
      <c r="A2" s="68" t="s">
        <v>2</v>
      </c>
      <c r="B2" s="68"/>
      <c r="C2" s="68"/>
      <c r="D2" s="68"/>
      <c r="E2" s="68" t="s">
        <v>3</v>
      </c>
      <c r="F2" s="68"/>
      <c r="G2" s="68"/>
      <c r="H2" s="68"/>
      <c r="I2" s="68"/>
      <c r="J2" s="68"/>
      <c r="K2" s="68"/>
    </row>
    <row r="3" spans="1:13" ht="8.25" customHeight="1">
      <c r="A3" s="45"/>
      <c r="B3" s="45"/>
      <c r="C3" s="45"/>
      <c r="D3" s="45"/>
      <c r="E3" s="45"/>
      <c r="F3" s="45"/>
      <c r="G3" s="45"/>
      <c r="H3" s="45"/>
      <c r="I3" s="45"/>
      <c r="J3" s="45"/>
      <c r="K3" s="45"/>
    </row>
    <row r="4" spans="1:13">
      <c r="A4" s="69" t="s">
        <v>4</v>
      </c>
      <c r="B4" s="69"/>
      <c r="C4" s="69"/>
      <c r="D4" s="69"/>
      <c r="E4" s="69"/>
      <c r="F4" s="69"/>
      <c r="G4" s="69"/>
      <c r="H4" s="69"/>
      <c r="I4" s="69"/>
      <c r="J4" s="69"/>
      <c r="K4" s="69"/>
    </row>
    <row r="5" spans="1:13" ht="17.25" customHeight="1">
      <c r="A5" s="46" t="s">
        <v>5</v>
      </c>
      <c r="B5" s="47">
        <v>125254</v>
      </c>
      <c r="C5" s="47" t="str">
        <f>IF(B5="12522W.3","Tên lớp: SEK20.3",IF(B5=125254,"Tên lớp: SEK23.4",""))</f>
        <v>Tên lớp: SEK23.4</v>
      </c>
      <c r="D5" s="46"/>
      <c r="E5" s="48"/>
      <c r="F5" s="46"/>
      <c r="G5" s="46"/>
      <c r="H5" s="46"/>
      <c r="I5" s="46"/>
      <c r="J5" s="62"/>
    </row>
    <row r="6" spans="1:13" ht="69" customHeight="1">
      <c r="A6" s="49" t="s">
        <v>6</v>
      </c>
      <c r="B6" s="49" t="s">
        <v>7</v>
      </c>
      <c r="C6" s="49" t="s">
        <v>8</v>
      </c>
      <c r="D6" s="49" t="s">
        <v>9</v>
      </c>
      <c r="E6" s="50" t="s">
        <v>10</v>
      </c>
      <c r="F6" s="50" t="s">
        <v>11</v>
      </c>
      <c r="G6" s="50" t="s">
        <v>12</v>
      </c>
      <c r="H6" s="50" t="s">
        <v>13</v>
      </c>
      <c r="I6" s="50" t="s">
        <v>14</v>
      </c>
      <c r="J6" s="49" t="s">
        <v>15</v>
      </c>
      <c r="K6" s="49" t="s">
        <v>16</v>
      </c>
    </row>
    <row r="7" spans="1:13" ht="20.100000000000001" customHeight="1">
      <c r="A7" s="51">
        <v>1</v>
      </c>
      <c r="B7" s="14"/>
      <c r="C7" s="14"/>
      <c r="D7" s="52"/>
      <c r="E7" s="53">
        <f>'Điểm TC 1'!L3</f>
        <v>10</v>
      </c>
      <c r="F7" s="54">
        <f>'Điểm TC 2'!J3</f>
        <v>25</v>
      </c>
      <c r="G7" s="54">
        <f>'Điểm TC 3'!G3</f>
        <v>18</v>
      </c>
      <c r="H7" s="54">
        <f>'Điểm TC 4'!H3</f>
        <v>19</v>
      </c>
      <c r="I7" s="49">
        <f>'Điểm TC 5'!G3</f>
        <v>0</v>
      </c>
      <c r="J7" s="49">
        <f t="shared" ref="J7:J38" si="0">SUM(E7:I7)</f>
        <v>72</v>
      </c>
      <c r="K7" s="63" t="str">
        <f t="shared" ref="K7:K38" si="1">IF(J7&gt;=90,"Xuất sắc",IF(J7&gt;=80,"Tốt",IF(J7&gt;=65,"Khá",IF(J7&gt;=50,"TB",IF(J7&gt;=35,"Yếu","Kém")))))</f>
        <v>Khá</v>
      </c>
      <c r="M7" s="64" t="s">
        <v>17</v>
      </c>
    </row>
    <row r="8" spans="1:13" ht="20.100000000000001" customHeight="1">
      <c r="A8" s="51">
        <v>2</v>
      </c>
      <c r="B8" s="14"/>
      <c r="C8" s="14"/>
      <c r="D8" s="52"/>
      <c r="E8" s="53">
        <f>'Điểm TC 1'!L4</f>
        <v>10</v>
      </c>
      <c r="F8" s="54">
        <f>'Điểm TC 2'!J4</f>
        <v>25</v>
      </c>
      <c r="G8" s="54">
        <f>'Điểm TC 3'!G4</f>
        <v>18</v>
      </c>
      <c r="H8" s="54">
        <f>'Điểm TC 4'!H4</f>
        <v>19</v>
      </c>
      <c r="I8" s="49">
        <f>'Điểm TC 5'!G4</f>
        <v>0</v>
      </c>
      <c r="J8" s="49">
        <f t="shared" si="0"/>
        <v>72</v>
      </c>
      <c r="K8" s="63" t="str">
        <f t="shared" si="1"/>
        <v>Khá</v>
      </c>
      <c r="M8" s="64" t="s">
        <v>18</v>
      </c>
    </row>
    <row r="9" spans="1:13" ht="20.100000000000001" customHeight="1">
      <c r="A9" s="51">
        <v>3</v>
      </c>
      <c r="B9" s="14"/>
      <c r="C9" s="14"/>
      <c r="D9" s="52"/>
      <c r="E9" s="53">
        <f>'Điểm TC 1'!L5</f>
        <v>10</v>
      </c>
      <c r="F9" s="54">
        <f>'Điểm TC 2'!J5</f>
        <v>25</v>
      </c>
      <c r="G9" s="54">
        <f>'Điểm TC 3'!G5</f>
        <v>18</v>
      </c>
      <c r="H9" s="54">
        <f>'Điểm TC 4'!H5</f>
        <v>19</v>
      </c>
      <c r="I9" s="49">
        <f>'Điểm TC 5'!G5</f>
        <v>0</v>
      </c>
      <c r="J9" s="49">
        <f t="shared" si="0"/>
        <v>72</v>
      </c>
      <c r="K9" s="63" t="str">
        <f t="shared" si="1"/>
        <v>Khá</v>
      </c>
    </row>
    <row r="10" spans="1:13" ht="20.100000000000001" customHeight="1">
      <c r="A10" s="51">
        <v>4</v>
      </c>
      <c r="B10" s="14"/>
      <c r="C10" s="14"/>
      <c r="D10" s="52"/>
      <c r="E10" s="53">
        <f>'Điểm TC 1'!L6</f>
        <v>10</v>
      </c>
      <c r="F10" s="54">
        <f>'Điểm TC 2'!J6</f>
        <v>25</v>
      </c>
      <c r="G10" s="54">
        <f>'Điểm TC 3'!G6</f>
        <v>18</v>
      </c>
      <c r="H10" s="54">
        <f>'Điểm TC 4'!H6</f>
        <v>19</v>
      </c>
      <c r="I10" s="49">
        <f>'Điểm TC 5'!G6</f>
        <v>0</v>
      </c>
      <c r="J10" s="49">
        <f t="shared" si="0"/>
        <v>72</v>
      </c>
      <c r="K10" s="63" t="str">
        <f t="shared" si="1"/>
        <v>Khá</v>
      </c>
    </row>
    <row r="11" spans="1:13" ht="20.100000000000001" customHeight="1">
      <c r="A11" s="51">
        <v>5</v>
      </c>
      <c r="B11" s="14"/>
      <c r="C11" s="14"/>
      <c r="D11" s="52"/>
      <c r="E11" s="53">
        <f>'Điểm TC 1'!L7</f>
        <v>10</v>
      </c>
      <c r="F11" s="54">
        <f>'Điểm TC 2'!J7</f>
        <v>25</v>
      </c>
      <c r="G11" s="54">
        <f>'Điểm TC 3'!G7</f>
        <v>18</v>
      </c>
      <c r="H11" s="54">
        <f>'Điểm TC 4'!H7</f>
        <v>19</v>
      </c>
      <c r="I11" s="49">
        <f>'Điểm TC 5'!G7</f>
        <v>0</v>
      </c>
      <c r="J11" s="49">
        <f t="shared" si="0"/>
        <v>72</v>
      </c>
      <c r="K11" s="63" t="str">
        <f t="shared" si="1"/>
        <v>Khá</v>
      </c>
    </row>
    <row r="12" spans="1:13" ht="20.100000000000001" customHeight="1">
      <c r="A12" s="51">
        <v>6</v>
      </c>
      <c r="B12" s="14"/>
      <c r="C12" s="14"/>
      <c r="D12" s="52"/>
      <c r="E12" s="53">
        <f>'Điểm TC 1'!L8</f>
        <v>10</v>
      </c>
      <c r="F12" s="54">
        <f>'Điểm TC 2'!J8</f>
        <v>25</v>
      </c>
      <c r="G12" s="54">
        <f>'Điểm TC 3'!G8</f>
        <v>18</v>
      </c>
      <c r="H12" s="54">
        <f>'Điểm TC 4'!H8</f>
        <v>19</v>
      </c>
      <c r="I12" s="49">
        <f>'Điểm TC 5'!G8</f>
        <v>0</v>
      </c>
      <c r="J12" s="49">
        <f t="shared" si="0"/>
        <v>72</v>
      </c>
      <c r="K12" s="63" t="str">
        <f t="shared" si="1"/>
        <v>Khá</v>
      </c>
    </row>
    <row r="13" spans="1:13" ht="20.100000000000001" customHeight="1">
      <c r="A13" s="51">
        <v>7</v>
      </c>
      <c r="B13" s="14"/>
      <c r="C13" s="14"/>
      <c r="D13" s="52"/>
      <c r="E13" s="53">
        <f>'Điểm TC 1'!L9</f>
        <v>10</v>
      </c>
      <c r="F13" s="54">
        <f>'Điểm TC 2'!J9</f>
        <v>25</v>
      </c>
      <c r="G13" s="54">
        <f>'Điểm TC 3'!G9</f>
        <v>18</v>
      </c>
      <c r="H13" s="54">
        <f>'Điểm TC 4'!H9</f>
        <v>19</v>
      </c>
      <c r="I13" s="49">
        <f>'Điểm TC 5'!G9</f>
        <v>0</v>
      </c>
      <c r="J13" s="49">
        <f t="shared" si="0"/>
        <v>72</v>
      </c>
      <c r="K13" s="63" t="str">
        <f t="shared" si="1"/>
        <v>Khá</v>
      </c>
    </row>
    <row r="14" spans="1:13" ht="20.100000000000001" customHeight="1">
      <c r="A14" s="51">
        <v>8</v>
      </c>
      <c r="B14" s="14"/>
      <c r="C14" s="14"/>
      <c r="D14" s="52"/>
      <c r="E14" s="53">
        <f>'Điểm TC 1'!L10</f>
        <v>10</v>
      </c>
      <c r="F14" s="54">
        <f>'Điểm TC 2'!J10</f>
        <v>25</v>
      </c>
      <c r="G14" s="54">
        <f>'Điểm TC 3'!G10</f>
        <v>18</v>
      </c>
      <c r="H14" s="54">
        <f>'Điểm TC 4'!H10</f>
        <v>19</v>
      </c>
      <c r="I14" s="49">
        <f>'Điểm TC 5'!G10</f>
        <v>0</v>
      </c>
      <c r="J14" s="49">
        <f t="shared" si="0"/>
        <v>72</v>
      </c>
      <c r="K14" s="63" t="str">
        <f t="shared" si="1"/>
        <v>Khá</v>
      </c>
    </row>
    <row r="15" spans="1:13" ht="20.100000000000001" customHeight="1">
      <c r="A15" s="51">
        <v>9</v>
      </c>
      <c r="B15" s="14"/>
      <c r="C15" s="14"/>
      <c r="D15" s="52"/>
      <c r="E15" s="53">
        <f>'Điểm TC 1'!L11</f>
        <v>10</v>
      </c>
      <c r="F15" s="54">
        <f>'Điểm TC 2'!J11</f>
        <v>25</v>
      </c>
      <c r="G15" s="54">
        <f>'Điểm TC 3'!G11</f>
        <v>18</v>
      </c>
      <c r="H15" s="54">
        <f>'Điểm TC 4'!H11</f>
        <v>19</v>
      </c>
      <c r="I15" s="49">
        <f>'Điểm TC 5'!G11</f>
        <v>0</v>
      </c>
      <c r="J15" s="49">
        <f t="shared" si="0"/>
        <v>72</v>
      </c>
      <c r="K15" s="63" t="str">
        <f t="shared" si="1"/>
        <v>Khá</v>
      </c>
    </row>
    <row r="16" spans="1:13" ht="20.100000000000001" customHeight="1">
      <c r="A16" s="51">
        <v>10</v>
      </c>
      <c r="B16" s="14"/>
      <c r="C16" s="14"/>
      <c r="D16" s="52"/>
      <c r="E16" s="53">
        <f>'Điểm TC 1'!L12</f>
        <v>10</v>
      </c>
      <c r="F16" s="54">
        <f>'Điểm TC 2'!J12</f>
        <v>25</v>
      </c>
      <c r="G16" s="54">
        <f>'Điểm TC 3'!G12</f>
        <v>18</v>
      </c>
      <c r="H16" s="54">
        <f>'Điểm TC 4'!H12</f>
        <v>19</v>
      </c>
      <c r="I16" s="49">
        <f>'Điểm TC 5'!G12</f>
        <v>8</v>
      </c>
      <c r="J16" s="49">
        <f t="shared" si="0"/>
        <v>80</v>
      </c>
      <c r="K16" s="63" t="str">
        <f t="shared" si="1"/>
        <v>Tốt</v>
      </c>
    </row>
    <row r="17" spans="1:12" ht="20.100000000000001" customHeight="1">
      <c r="A17" s="51">
        <v>11</v>
      </c>
      <c r="B17" s="14"/>
      <c r="C17" s="14"/>
      <c r="D17" s="52"/>
      <c r="E17" s="53">
        <f>'Điểm TC 1'!L13</f>
        <v>10</v>
      </c>
      <c r="F17" s="54">
        <f>'Điểm TC 2'!J13</f>
        <v>25</v>
      </c>
      <c r="G17" s="54">
        <f>'Điểm TC 3'!G13</f>
        <v>18</v>
      </c>
      <c r="H17" s="54">
        <f>'Điểm TC 4'!H13</f>
        <v>19</v>
      </c>
      <c r="I17" s="49">
        <f>'Điểm TC 5'!G13</f>
        <v>0</v>
      </c>
      <c r="J17" s="49">
        <f t="shared" si="0"/>
        <v>72</v>
      </c>
      <c r="K17" s="63" t="str">
        <f t="shared" si="1"/>
        <v>Khá</v>
      </c>
    </row>
    <row r="18" spans="1:12" ht="20.100000000000001" customHeight="1">
      <c r="A18" s="51">
        <v>12</v>
      </c>
      <c r="B18" s="14"/>
      <c r="C18" s="14"/>
      <c r="D18" s="52"/>
      <c r="E18" s="53">
        <f>'Điểm TC 1'!L14</f>
        <v>10</v>
      </c>
      <c r="F18" s="54">
        <f>'Điểm TC 2'!J14</f>
        <v>25</v>
      </c>
      <c r="G18" s="54">
        <f>'Điểm TC 3'!G14</f>
        <v>18</v>
      </c>
      <c r="H18" s="54">
        <f>'Điểm TC 4'!H14</f>
        <v>19</v>
      </c>
      <c r="I18" s="49">
        <f>'Điểm TC 5'!G14</f>
        <v>0</v>
      </c>
      <c r="J18" s="49">
        <f t="shared" si="0"/>
        <v>72</v>
      </c>
      <c r="K18" s="63" t="str">
        <f t="shared" si="1"/>
        <v>Khá</v>
      </c>
    </row>
    <row r="19" spans="1:12" ht="20.100000000000001" customHeight="1">
      <c r="A19" s="51">
        <v>13</v>
      </c>
      <c r="B19" s="14"/>
      <c r="C19" s="14"/>
      <c r="D19" s="52"/>
      <c r="E19" s="53">
        <f>'Điểm TC 1'!L15</f>
        <v>10</v>
      </c>
      <c r="F19" s="54">
        <f>'Điểm TC 2'!J15</f>
        <v>25</v>
      </c>
      <c r="G19" s="54">
        <f>'Điểm TC 3'!G15</f>
        <v>18</v>
      </c>
      <c r="H19" s="54">
        <f>'Điểm TC 4'!H15</f>
        <v>19</v>
      </c>
      <c r="I19" s="49">
        <f>'Điểm TC 5'!G15</f>
        <v>0</v>
      </c>
      <c r="J19" s="49">
        <f t="shared" si="0"/>
        <v>72</v>
      </c>
      <c r="K19" s="63" t="str">
        <f t="shared" si="1"/>
        <v>Khá</v>
      </c>
    </row>
    <row r="20" spans="1:12" ht="20.100000000000001" customHeight="1">
      <c r="A20" s="51">
        <v>14</v>
      </c>
      <c r="B20" s="14"/>
      <c r="C20" s="14"/>
      <c r="D20" s="52"/>
      <c r="E20" s="53">
        <f>'Điểm TC 1'!L16</f>
        <v>10</v>
      </c>
      <c r="F20" s="54">
        <f>'Điểm TC 2'!J16</f>
        <v>25</v>
      </c>
      <c r="G20" s="54">
        <f>'Điểm TC 3'!G16</f>
        <v>18</v>
      </c>
      <c r="H20" s="54">
        <f>'Điểm TC 4'!H16</f>
        <v>19</v>
      </c>
      <c r="I20" s="49">
        <f>'Điểm TC 5'!G16</f>
        <v>0</v>
      </c>
      <c r="J20" s="49">
        <f t="shared" si="0"/>
        <v>72</v>
      </c>
      <c r="K20" s="63" t="str">
        <f t="shared" si="1"/>
        <v>Khá</v>
      </c>
    </row>
    <row r="21" spans="1:12" ht="20.100000000000001" customHeight="1">
      <c r="A21" s="51">
        <v>15</v>
      </c>
      <c r="B21" s="14"/>
      <c r="C21" s="14"/>
      <c r="D21" s="52"/>
      <c r="E21" s="53">
        <f>'Điểm TC 1'!L17</f>
        <v>10</v>
      </c>
      <c r="F21" s="54">
        <f>'Điểm TC 2'!J17</f>
        <v>25</v>
      </c>
      <c r="G21" s="54">
        <f>'Điểm TC 3'!G17</f>
        <v>18</v>
      </c>
      <c r="H21" s="54">
        <f>'Điểm TC 4'!H17</f>
        <v>19</v>
      </c>
      <c r="I21" s="49">
        <f>'Điểm TC 5'!G17</f>
        <v>0</v>
      </c>
      <c r="J21" s="49">
        <f t="shared" si="0"/>
        <v>72</v>
      </c>
      <c r="K21" s="63" t="str">
        <f t="shared" si="1"/>
        <v>Khá</v>
      </c>
    </row>
    <row r="22" spans="1:12" ht="20.100000000000001" customHeight="1">
      <c r="A22" s="51">
        <v>16</v>
      </c>
      <c r="B22" s="14"/>
      <c r="C22" s="14"/>
      <c r="D22" s="52"/>
      <c r="E22" s="53">
        <f>'Điểm TC 1'!L18</f>
        <v>10</v>
      </c>
      <c r="F22" s="54">
        <f>'Điểm TC 2'!J18</f>
        <v>25</v>
      </c>
      <c r="G22" s="54">
        <f>'Điểm TC 3'!G18</f>
        <v>18</v>
      </c>
      <c r="H22" s="54">
        <f>'Điểm TC 4'!H18</f>
        <v>19</v>
      </c>
      <c r="I22" s="49">
        <f>'Điểm TC 5'!G18</f>
        <v>0</v>
      </c>
      <c r="J22" s="49">
        <f t="shared" si="0"/>
        <v>72</v>
      </c>
      <c r="K22" s="63" t="str">
        <f t="shared" si="1"/>
        <v>Khá</v>
      </c>
    </row>
    <row r="23" spans="1:12" ht="20.100000000000001" customHeight="1">
      <c r="A23" s="51">
        <v>17</v>
      </c>
      <c r="B23" s="14"/>
      <c r="C23" s="14"/>
      <c r="D23" s="52"/>
      <c r="E23" s="53">
        <f>'Điểm TC 1'!L19</f>
        <v>10</v>
      </c>
      <c r="F23" s="54">
        <f>'Điểm TC 2'!J19</f>
        <v>25</v>
      </c>
      <c r="G23" s="54">
        <f>'Điểm TC 3'!G19</f>
        <v>18</v>
      </c>
      <c r="H23" s="54">
        <f>'Điểm TC 4'!H19</f>
        <v>19</v>
      </c>
      <c r="I23" s="49">
        <f>'Điểm TC 5'!G19</f>
        <v>10</v>
      </c>
      <c r="J23" s="49">
        <f t="shared" si="0"/>
        <v>82</v>
      </c>
      <c r="K23" s="63" t="str">
        <f t="shared" si="1"/>
        <v>Tốt</v>
      </c>
    </row>
    <row r="24" spans="1:12" ht="20.100000000000001" customHeight="1">
      <c r="A24" s="51">
        <v>18</v>
      </c>
      <c r="B24" s="14"/>
      <c r="C24" s="14"/>
      <c r="D24" s="52"/>
      <c r="E24" s="53">
        <f>'Điểm TC 1'!L20</f>
        <v>10</v>
      </c>
      <c r="F24" s="54">
        <f>'Điểm TC 2'!J20</f>
        <v>25</v>
      </c>
      <c r="G24" s="54">
        <f>'Điểm TC 3'!G20</f>
        <v>18</v>
      </c>
      <c r="H24" s="54">
        <f>'Điểm TC 4'!H20</f>
        <v>19</v>
      </c>
      <c r="I24" s="49">
        <f>'Điểm TC 5'!G20</f>
        <v>0</v>
      </c>
      <c r="J24" s="49">
        <f t="shared" si="0"/>
        <v>72</v>
      </c>
      <c r="K24" s="63" t="str">
        <f t="shared" si="1"/>
        <v>Khá</v>
      </c>
    </row>
    <row r="25" spans="1:12" ht="20.100000000000001" customHeight="1">
      <c r="A25" s="51">
        <v>19</v>
      </c>
      <c r="B25" s="14"/>
      <c r="C25" s="14"/>
      <c r="D25" s="52"/>
      <c r="E25" s="53">
        <f>'Điểm TC 1'!L21</f>
        <v>10</v>
      </c>
      <c r="F25" s="54">
        <f>'Điểm TC 2'!J21</f>
        <v>25</v>
      </c>
      <c r="G25" s="54">
        <f>'Điểm TC 3'!G21</f>
        <v>18</v>
      </c>
      <c r="H25" s="54">
        <f>'Điểm TC 4'!H21</f>
        <v>19</v>
      </c>
      <c r="I25" s="49">
        <f>'Điểm TC 5'!G21</f>
        <v>0</v>
      </c>
      <c r="J25" s="49">
        <f t="shared" si="0"/>
        <v>72</v>
      </c>
      <c r="K25" s="63" t="str">
        <f t="shared" si="1"/>
        <v>Khá</v>
      </c>
    </row>
    <row r="26" spans="1:12">
      <c r="A26" s="51">
        <v>20</v>
      </c>
      <c r="B26" s="14"/>
      <c r="C26" s="14"/>
      <c r="D26" s="52"/>
      <c r="E26" s="53">
        <f>'Điểm TC 1'!L22</f>
        <v>10</v>
      </c>
      <c r="F26" s="54">
        <f>'Điểm TC 2'!J22</f>
        <v>25</v>
      </c>
      <c r="G26" s="54">
        <f>'Điểm TC 3'!G22</f>
        <v>18</v>
      </c>
      <c r="H26" s="54">
        <f>'Điểm TC 4'!H22</f>
        <v>19</v>
      </c>
      <c r="I26" s="49">
        <f>'Điểm TC 5'!G22</f>
        <v>0</v>
      </c>
      <c r="J26" s="49">
        <f t="shared" si="0"/>
        <v>72</v>
      </c>
      <c r="K26" s="63" t="str">
        <f t="shared" si="1"/>
        <v>Khá</v>
      </c>
    </row>
    <row r="27" spans="1:12">
      <c r="A27" s="51">
        <v>21</v>
      </c>
      <c r="B27" s="14"/>
      <c r="C27" s="14"/>
      <c r="D27" s="52"/>
      <c r="E27" s="53">
        <f>'Điểm TC 1'!L23</f>
        <v>10</v>
      </c>
      <c r="F27" s="54">
        <f>'Điểm TC 2'!J23</f>
        <v>25</v>
      </c>
      <c r="G27" s="54">
        <f>'Điểm TC 3'!G23</f>
        <v>18</v>
      </c>
      <c r="H27" s="54">
        <f>'Điểm TC 4'!H23</f>
        <v>19</v>
      </c>
      <c r="I27" s="49">
        <f>'Điểm TC 5'!G23</f>
        <v>0</v>
      </c>
      <c r="J27" s="49">
        <f t="shared" si="0"/>
        <v>72</v>
      </c>
      <c r="K27" s="63" t="str">
        <f t="shared" si="1"/>
        <v>Khá</v>
      </c>
      <c r="L27" s="65"/>
    </row>
    <row r="28" spans="1:12">
      <c r="A28" s="51">
        <v>22</v>
      </c>
      <c r="B28" s="14"/>
      <c r="C28" s="14"/>
      <c r="D28" s="52"/>
      <c r="E28" s="53">
        <f>'Điểm TC 1'!L24</f>
        <v>10</v>
      </c>
      <c r="F28" s="54">
        <f>'Điểm TC 2'!J24</f>
        <v>25</v>
      </c>
      <c r="G28" s="54">
        <f>'Điểm TC 3'!G24</f>
        <v>18</v>
      </c>
      <c r="H28" s="54">
        <f>'Điểm TC 4'!H24</f>
        <v>19</v>
      </c>
      <c r="I28" s="49">
        <f>'Điểm TC 5'!G24</f>
        <v>0</v>
      </c>
      <c r="J28" s="49">
        <f t="shared" si="0"/>
        <v>72</v>
      </c>
      <c r="K28" s="63" t="str">
        <f t="shared" si="1"/>
        <v>Khá</v>
      </c>
      <c r="L28" s="65"/>
    </row>
    <row r="29" spans="1:12" s="41" customFormat="1" ht="18.75" customHeight="1">
      <c r="A29" s="51">
        <v>23</v>
      </c>
      <c r="B29" s="14"/>
      <c r="C29" s="14"/>
      <c r="D29" s="52"/>
      <c r="E29" s="53">
        <f>'Điểm TC 1'!L25</f>
        <v>10</v>
      </c>
      <c r="F29" s="54">
        <f>'Điểm TC 2'!J25</f>
        <v>25</v>
      </c>
      <c r="G29" s="54">
        <f>'Điểm TC 3'!G25</f>
        <v>18</v>
      </c>
      <c r="H29" s="54">
        <f>'Điểm TC 4'!H25</f>
        <v>19</v>
      </c>
      <c r="I29" s="49">
        <f>'Điểm TC 5'!G25</f>
        <v>10</v>
      </c>
      <c r="J29" s="49">
        <f t="shared" si="0"/>
        <v>82</v>
      </c>
      <c r="K29" s="63" t="str">
        <f t="shared" si="1"/>
        <v>Tốt</v>
      </c>
      <c r="L29" s="65"/>
    </row>
    <row r="30" spans="1:12" s="41" customFormat="1" ht="18.75" customHeight="1">
      <c r="A30" s="51">
        <v>24</v>
      </c>
      <c r="B30" s="14"/>
      <c r="C30" s="14"/>
      <c r="D30" s="52"/>
      <c r="E30" s="53">
        <f>'Điểm TC 1'!L26</f>
        <v>10</v>
      </c>
      <c r="F30" s="54">
        <f>'Điểm TC 2'!J26</f>
        <v>25</v>
      </c>
      <c r="G30" s="54">
        <f>'Điểm TC 3'!G26</f>
        <v>18</v>
      </c>
      <c r="H30" s="54">
        <f>'Điểm TC 4'!H26</f>
        <v>19</v>
      </c>
      <c r="I30" s="49">
        <f>'Điểm TC 5'!G26</f>
        <v>0</v>
      </c>
      <c r="J30" s="49">
        <f t="shared" si="0"/>
        <v>72</v>
      </c>
      <c r="K30" s="63" t="str">
        <f t="shared" si="1"/>
        <v>Khá</v>
      </c>
      <c r="L30" s="43"/>
    </row>
    <row r="31" spans="1:12" s="41" customFormat="1" ht="18.75" customHeight="1">
      <c r="A31" s="51">
        <v>25</v>
      </c>
      <c r="B31" s="14"/>
      <c r="C31" s="14"/>
      <c r="D31" s="52"/>
      <c r="E31" s="53">
        <f>'Điểm TC 1'!L27</f>
        <v>10</v>
      </c>
      <c r="F31" s="54">
        <f>'Điểm TC 2'!J27</f>
        <v>25</v>
      </c>
      <c r="G31" s="54">
        <f>'Điểm TC 3'!G27</f>
        <v>18</v>
      </c>
      <c r="H31" s="54">
        <f>'Điểm TC 4'!H27</f>
        <v>19</v>
      </c>
      <c r="I31" s="49">
        <f>'Điểm TC 5'!G27</f>
        <v>0</v>
      </c>
      <c r="J31" s="49">
        <f t="shared" si="0"/>
        <v>72</v>
      </c>
      <c r="K31" s="63" t="str">
        <f t="shared" si="1"/>
        <v>Khá</v>
      </c>
      <c r="L31" s="43"/>
    </row>
    <row r="32" spans="1:12" s="41" customFormat="1">
      <c r="A32" s="51">
        <v>26</v>
      </c>
      <c r="B32" s="14"/>
      <c r="C32" s="14"/>
      <c r="D32" s="52"/>
      <c r="E32" s="53">
        <f>'Điểm TC 1'!L28</f>
        <v>10</v>
      </c>
      <c r="F32" s="54">
        <f>'Điểm TC 2'!J28</f>
        <v>25</v>
      </c>
      <c r="G32" s="54">
        <f>'Điểm TC 3'!G28</f>
        <v>18</v>
      </c>
      <c r="H32" s="54">
        <f>'Điểm TC 4'!H28</f>
        <v>19</v>
      </c>
      <c r="I32" s="49">
        <f>'Điểm TC 5'!G28</f>
        <v>0</v>
      </c>
      <c r="J32" s="49">
        <f t="shared" si="0"/>
        <v>72</v>
      </c>
      <c r="K32" s="63" t="str">
        <f t="shared" si="1"/>
        <v>Khá</v>
      </c>
      <c r="L32" s="43"/>
    </row>
    <row r="33" spans="1:15" s="41" customFormat="1">
      <c r="A33" s="51">
        <v>27</v>
      </c>
      <c r="B33" s="14"/>
      <c r="C33" s="14"/>
      <c r="D33" s="52"/>
      <c r="E33" s="53">
        <f>'Điểm TC 1'!L29</f>
        <v>10</v>
      </c>
      <c r="F33" s="54">
        <f>'Điểm TC 2'!J29</f>
        <v>25</v>
      </c>
      <c r="G33" s="54">
        <f>'Điểm TC 3'!G29</f>
        <v>18</v>
      </c>
      <c r="H33" s="54">
        <f>'Điểm TC 4'!H29</f>
        <v>19</v>
      </c>
      <c r="I33" s="49">
        <f>'Điểm TC 5'!G29</f>
        <v>0</v>
      </c>
      <c r="J33" s="49">
        <f t="shared" si="0"/>
        <v>72</v>
      </c>
      <c r="K33" s="63" t="str">
        <f t="shared" si="1"/>
        <v>Khá</v>
      </c>
      <c r="L33" s="65"/>
    </row>
    <row r="34" spans="1:15" s="41" customFormat="1">
      <c r="A34" s="51">
        <v>28</v>
      </c>
      <c r="B34" s="14"/>
      <c r="C34" s="14"/>
      <c r="D34" s="52"/>
      <c r="E34" s="53">
        <f>'Điểm TC 1'!L30</f>
        <v>10</v>
      </c>
      <c r="F34" s="54">
        <f>'Điểm TC 2'!J30</f>
        <v>25</v>
      </c>
      <c r="G34" s="54">
        <f>'Điểm TC 3'!G30</f>
        <v>18</v>
      </c>
      <c r="H34" s="54">
        <f>'Điểm TC 4'!H30</f>
        <v>19</v>
      </c>
      <c r="I34" s="49">
        <f>'Điểm TC 5'!G30</f>
        <v>7</v>
      </c>
      <c r="J34" s="49">
        <f t="shared" si="0"/>
        <v>79</v>
      </c>
      <c r="K34" s="63" t="str">
        <f t="shared" si="1"/>
        <v>Khá</v>
      </c>
      <c r="L34" s="65"/>
    </row>
    <row r="35" spans="1:15" s="41" customFormat="1">
      <c r="A35" s="51">
        <v>29</v>
      </c>
      <c r="B35" s="14"/>
      <c r="C35" s="14"/>
      <c r="D35" s="52"/>
      <c r="E35" s="53">
        <f>'Điểm TC 1'!L31</f>
        <v>10</v>
      </c>
      <c r="F35" s="54">
        <f>'Điểm TC 2'!J31</f>
        <v>25</v>
      </c>
      <c r="G35" s="54">
        <f>'Điểm TC 3'!G31</f>
        <v>18</v>
      </c>
      <c r="H35" s="54">
        <f>'Điểm TC 4'!H31</f>
        <v>19</v>
      </c>
      <c r="I35" s="49">
        <f>'Điểm TC 5'!G31</f>
        <v>0</v>
      </c>
      <c r="J35" s="49">
        <f t="shared" si="0"/>
        <v>72</v>
      </c>
      <c r="K35" s="63" t="str">
        <f t="shared" si="1"/>
        <v>Khá</v>
      </c>
      <c r="L35" s="43"/>
    </row>
    <row r="36" spans="1:15" s="41" customFormat="1">
      <c r="A36" s="51">
        <v>30</v>
      </c>
      <c r="B36" s="14"/>
      <c r="C36" s="14"/>
      <c r="D36" s="52"/>
      <c r="E36" s="53">
        <f>'Điểm TC 1'!L32</f>
        <v>10</v>
      </c>
      <c r="F36" s="54">
        <f>'Điểm TC 2'!J32</f>
        <v>25</v>
      </c>
      <c r="G36" s="54">
        <f>'Điểm TC 3'!G32</f>
        <v>18</v>
      </c>
      <c r="H36" s="54">
        <f>'Điểm TC 4'!H32</f>
        <v>19</v>
      </c>
      <c r="I36" s="49">
        <f>'Điểm TC 5'!G32</f>
        <v>0</v>
      </c>
      <c r="J36" s="49">
        <f t="shared" si="0"/>
        <v>72</v>
      </c>
      <c r="K36" s="63" t="str">
        <f t="shared" si="1"/>
        <v>Khá</v>
      </c>
      <c r="L36" s="65"/>
    </row>
    <row r="37" spans="1:15" s="41" customFormat="1">
      <c r="A37" s="51">
        <v>31</v>
      </c>
      <c r="B37" s="14"/>
      <c r="C37" s="14"/>
      <c r="D37" s="52"/>
      <c r="E37" s="53">
        <f>'Điểm TC 1'!L33</f>
        <v>10</v>
      </c>
      <c r="F37" s="54">
        <f>'Điểm TC 2'!J33</f>
        <v>25</v>
      </c>
      <c r="G37" s="54">
        <f>'Điểm TC 3'!G33</f>
        <v>18</v>
      </c>
      <c r="H37" s="54">
        <f>'Điểm TC 4'!H33</f>
        <v>19</v>
      </c>
      <c r="I37" s="49">
        <f>'Điểm TC 5'!G33</f>
        <v>0</v>
      </c>
      <c r="J37" s="49">
        <f t="shared" si="0"/>
        <v>72</v>
      </c>
      <c r="K37" s="63" t="str">
        <f t="shared" si="1"/>
        <v>Khá</v>
      </c>
      <c r="L37" s="65"/>
    </row>
    <row r="38" spans="1:15" s="41" customFormat="1">
      <c r="A38" s="51">
        <v>32</v>
      </c>
      <c r="B38" s="14"/>
      <c r="C38" s="14"/>
      <c r="D38" s="52"/>
      <c r="E38" s="53">
        <f>'Điểm TC 1'!L34</f>
        <v>10</v>
      </c>
      <c r="F38" s="54">
        <f>'Điểm TC 2'!J34</f>
        <v>25</v>
      </c>
      <c r="G38" s="54">
        <f>'Điểm TC 3'!G34</f>
        <v>18</v>
      </c>
      <c r="H38" s="54">
        <f>'Điểm TC 4'!H34</f>
        <v>19</v>
      </c>
      <c r="I38" s="49">
        <f>'Điểm TC 5'!G34</f>
        <v>0</v>
      </c>
      <c r="J38" s="49">
        <f t="shared" si="0"/>
        <v>72</v>
      </c>
      <c r="K38" s="63" t="str">
        <f t="shared" si="1"/>
        <v>Khá</v>
      </c>
      <c r="L38" s="43"/>
    </row>
    <row r="39" spans="1:15" s="41" customFormat="1">
      <c r="A39" s="55"/>
      <c r="B39" s="56"/>
      <c r="C39" s="56"/>
      <c r="D39" s="56"/>
      <c r="E39" s="57"/>
      <c r="F39" s="57"/>
      <c r="G39" s="57"/>
      <c r="H39" s="57"/>
      <c r="I39" s="57"/>
      <c r="J39" s="57"/>
      <c r="K39" s="62"/>
    </row>
    <row r="40" spans="1:15" s="41" customFormat="1">
      <c r="A40" s="42"/>
      <c r="B40" s="58" t="s">
        <v>19</v>
      </c>
      <c r="C40" s="58" t="str">
        <f>"= "&amp;COUNTIF($K$7:$K$38,"Xuất sắc")&amp;" / "&amp;COUNTA($K$7:$K$38)</f>
        <v>= 0 / 32</v>
      </c>
      <c r="D40" s="59">
        <f>COUNTIF($K$7:$K$38,"Xuất sắc")/COUNTA($K$7:$K$38)</f>
        <v>0</v>
      </c>
      <c r="E40" s="60"/>
      <c r="F40" s="58" t="s">
        <v>20</v>
      </c>
      <c r="G40" s="61"/>
      <c r="H40" s="60"/>
      <c r="I40" s="58" t="str">
        <f>"= "&amp;COUNTIF($K$7:$K$38,"TB")&amp;" / "&amp;COUNTA($K$7:$K$38)</f>
        <v>= 0 / 32</v>
      </c>
      <c r="J40" s="59">
        <f>COUNTIF($K$7:$K$38,"TB")/COUNTA($K$7:$K$38)</f>
        <v>0</v>
      </c>
      <c r="O40" s="66">
        <f>J42+J41+J40+D40+D41+D42</f>
        <v>1</v>
      </c>
    </row>
    <row r="41" spans="1:15">
      <c r="B41" s="58" t="s">
        <v>21</v>
      </c>
      <c r="C41" s="58" t="str">
        <f>"= "&amp;COUNTIF($K$7:$K$239,"Tốt")&amp;" / "&amp;COUNTA($K$7:$K$38)</f>
        <v>= 3 / 32</v>
      </c>
      <c r="D41" s="59">
        <f>COUNTIF($K$7:$K$38,"Tốt")/COUNTA($K$7:$K$38)</f>
        <v>9.375E-2</v>
      </c>
      <c r="E41" s="60"/>
      <c r="F41" s="58" t="s">
        <v>22</v>
      </c>
      <c r="G41" s="61"/>
      <c r="H41" s="60"/>
      <c r="I41" s="58" t="str">
        <f>"= "&amp;COUNTIF($K$7:$K$38,"Yếu")&amp;" / "&amp;COUNTA($K$7:$K$38)</f>
        <v>= 0 / 32</v>
      </c>
      <c r="J41" s="59">
        <f>COUNTIF($K$7:$K$38,"Yếu")/COUNTA($K$7:$K$38)</f>
        <v>0</v>
      </c>
    </row>
    <row r="42" spans="1:15">
      <c r="B42" s="58" t="s">
        <v>23</v>
      </c>
      <c r="C42" s="58" t="str">
        <f>"= "&amp;COUNTIF($K$7:$K$38,"Khá")&amp;" / "&amp;COUNTA($K$7:$K$38)</f>
        <v>= 29 / 32</v>
      </c>
      <c r="D42" s="59">
        <f>COUNTIF($K$7:$K$38,"Khá")/COUNTA($K$7:$K$38)</f>
        <v>0.90625</v>
      </c>
      <c r="E42" s="60"/>
      <c r="F42" s="58" t="s">
        <v>24</v>
      </c>
      <c r="G42" s="60"/>
      <c r="H42" s="44"/>
      <c r="I42" s="58" t="str">
        <f>"= "&amp;COUNTIF($K$7:$K$38,"Kém")&amp;" / "&amp;COUNTA($K$7:$K$38)</f>
        <v>= 0 / 32</v>
      </c>
      <c r="J42" s="59">
        <f>COUNTIF($K$7:$K$38,"Kém")/COUNTA($K$7:$K$38)</f>
        <v>0</v>
      </c>
    </row>
    <row r="43" spans="1:15">
      <c r="C43" s="60"/>
      <c r="D43" s="60"/>
      <c r="E43" s="60"/>
      <c r="F43" s="60"/>
      <c r="K43" s="43"/>
    </row>
    <row r="44" spans="1:15">
      <c r="F44" s="70" t="str">
        <f ca="1">"Hưng Yên, ngày "&amp;DAY(TODAY())&amp;" tháng "&amp;MONTH(TODAY())&amp;" năm "&amp;YEAR(NOW())</f>
        <v>Hưng Yên, ngày 4 tháng 6 năm 2026</v>
      </c>
      <c r="G44" s="70"/>
      <c r="H44" s="70"/>
      <c r="I44" s="70"/>
      <c r="J44" s="70"/>
      <c r="K44" s="70"/>
    </row>
    <row r="45" spans="1:15">
      <c r="A45" s="45"/>
      <c r="B45" s="68" t="s">
        <v>25</v>
      </c>
      <c r="C45" s="68"/>
      <c r="D45" s="68" t="s">
        <v>26</v>
      </c>
      <c r="E45" s="68"/>
      <c r="F45" s="68" t="s">
        <v>27</v>
      </c>
      <c r="G45" s="68"/>
      <c r="H45" s="68"/>
      <c r="I45" s="68"/>
      <c r="J45" s="68"/>
      <c r="K45" s="68"/>
    </row>
    <row r="46" spans="1:15">
      <c r="A46" s="45"/>
      <c r="B46" s="71"/>
      <c r="C46" s="71"/>
      <c r="D46" s="71"/>
      <c r="E46" s="71"/>
      <c r="F46" s="71"/>
      <c r="G46" s="71"/>
      <c r="H46" s="71"/>
      <c r="I46" s="71"/>
      <c r="J46" s="71"/>
      <c r="K46" s="71"/>
    </row>
    <row r="47" spans="1:15">
      <c r="A47" s="45"/>
      <c r="B47" s="45"/>
      <c r="C47" s="41"/>
      <c r="D47" s="41"/>
      <c r="E47" s="41"/>
      <c r="F47" s="41"/>
      <c r="G47" s="41"/>
      <c r="H47" s="41"/>
      <c r="I47" s="45"/>
      <c r="J47" s="41"/>
      <c r="K47" s="41"/>
    </row>
    <row r="48" spans="1:15">
      <c r="A48" s="45"/>
      <c r="B48" s="45"/>
      <c r="C48" s="41"/>
      <c r="D48" s="41"/>
      <c r="E48" s="41"/>
      <c r="F48" s="41"/>
      <c r="G48" s="41"/>
      <c r="H48" s="41"/>
      <c r="I48" s="45"/>
      <c r="J48" s="41"/>
      <c r="K48" s="41"/>
    </row>
    <row r="49" spans="1:11">
      <c r="A49" s="45"/>
      <c r="B49" s="72"/>
      <c r="C49" s="72"/>
      <c r="D49" s="72"/>
      <c r="E49" s="72"/>
      <c r="F49" s="72"/>
      <c r="G49" s="72"/>
      <c r="H49" s="72"/>
      <c r="I49" s="72"/>
      <c r="J49" s="72"/>
      <c r="K49" s="72"/>
    </row>
  </sheetData>
  <mergeCells count="15">
    <mergeCell ref="B49:C49"/>
    <mergeCell ref="D49:E49"/>
    <mergeCell ref="F49:K49"/>
    <mergeCell ref="F44:K44"/>
    <mergeCell ref="B45:C45"/>
    <mergeCell ref="D45:E45"/>
    <mergeCell ref="F45:K45"/>
    <mergeCell ref="B46:C46"/>
    <mergeCell ref="D46:E46"/>
    <mergeCell ref="F46:K46"/>
    <mergeCell ref="A1:D1"/>
    <mergeCell ref="E1:K1"/>
    <mergeCell ref="A2:D2"/>
    <mergeCell ref="E2:K2"/>
    <mergeCell ref="A4:K4"/>
  </mergeCells>
  <printOptions horizontalCentered="1"/>
  <pageMargins left="0.2" right="0.2" top="0.75" bottom="0" header="0.5" footer="0"/>
  <pageSetup paperSize="9" scale="90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4"/>
  <sheetViews>
    <sheetView workbookViewId="0">
      <pane ySplit="2" topLeftCell="A3" activePane="bottomLeft" state="frozen"/>
      <selection pane="bottomLeft" activeCell="O21" sqref="O21"/>
    </sheetView>
  </sheetViews>
  <sheetFormatPr defaultColWidth="8.85546875" defaultRowHeight="12.75"/>
  <cols>
    <col min="1" max="1" width="8.85546875" customWidth="1"/>
    <col min="2" max="2" width="10.7109375" customWidth="1"/>
    <col min="3" max="3" width="18.5703125" customWidth="1"/>
    <col min="4" max="5" width="9.7109375" customWidth="1"/>
    <col min="6" max="6" width="13.140625" customWidth="1"/>
    <col min="7" max="7" width="10.140625" customWidth="1"/>
    <col min="8" max="8" width="18" customWidth="1"/>
    <col min="9" max="9" width="19.85546875" customWidth="1"/>
    <col min="10" max="10" width="13.28515625" customWidth="1"/>
    <col min="12" max="12" width="15.85546875" customWidth="1"/>
  </cols>
  <sheetData>
    <row r="1" spans="1:14" ht="89.25">
      <c r="A1" s="73" t="s">
        <v>6</v>
      </c>
      <c r="B1" s="73" t="s">
        <v>7</v>
      </c>
      <c r="C1" s="73" t="s">
        <v>8</v>
      </c>
      <c r="D1" s="73" t="s">
        <v>28</v>
      </c>
      <c r="E1" s="74" t="s">
        <v>29</v>
      </c>
      <c r="F1" s="11" t="s">
        <v>30</v>
      </c>
      <c r="G1" s="30" t="s">
        <v>31</v>
      </c>
      <c r="H1" s="31" t="s">
        <v>32</v>
      </c>
      <c r="I1" s="31" t="s">
        <v>33</v>
      </c>
      <c r="J1" s="31" t="s">
        <v>34</v>
      </c>
      <c r="K1" s="31" t="s">
        <v>35</v>
      </c>
      <c r="L1" s="38" t="s">
        <v>36</v>
      </c>
    </row>
    <row r="2" spans="1:14" ht="38.25">
      <c r="A2" s="73"/>
      <c r="B2" s="73"/>
      <c r="C2" s="73"/>
      <c r="D2" s="73"/>
      <c r="E2" s="75"/>
      <c r="F2" s="32">
        <v>20</v>
      </c>
      <c r="G2" s="12">
        <v>5</v>
      </c>
      <c r="H2" s="33" t="s">
        <v>37</v>
      </c>
      <c r="I2" s="33" t="s">
        <v>38</v>
      </c>
      <c r="J2" s="39">
        <v>4</v>
      </c>
      <c r="K2" s="39">
        <v>6</v>
      </c>
      <c r="L2" s="39">
        <v>20</v>
      </c>
    </row>
    <row r="3" spans="1:14" ht="15">
      <c r="A3" s="13">
        <v>1</v>
      </c>
      <c r="B3" s="15"/>
      <c r="C3" s="15"/>
      <c r="D3" s="34"/>
      <c r="E3" s="34"/>
      <c r="F3" s="35">
        <f>E3/$F$2</f>
        <v>0</v>
      </c>
      <c r="G3" s="36">
        <v>5</v>
      </c>
      <c r="H3" s="36">
        <v>0</v>
      </c>
      <c r="I3" s="36">
        <v>1</v>
      </c>
      <c r="J3" s="40">
        <f t="shared" ref="J3:J28" si="0">IF(F3=0%,4,IF(F3&lt;10%,3,IF(F3&lt;=20%,2,IF(F3&lt;=30%,1,0))))</f>
        <v>4</v>
      </c>
      <c r="K3" s="40">
        <f t="shared" ref="K3:K28" si="1">IF(D3&lt;5,0,IF(D3&lt;6,2,IF(D3&lt;7,3,IF(D3&lt;8,4,IF(D3&lt;9,5,6)))))</f>
        <v>0</v>
      </c>
      <c r="L3" s="40">
        <f>SUM(G3:K3)</f>
        <v>10</v>
      </c>
      <c r="N3" s="20" t="s">
        <v>39</v>
      </c>
    </row>
    <row r="4" spans="1:14" ht="15">
      <c r="A4" s="13">
        <v>2</v>
      </c>
      <c r="B4" s="15"/>
      <c r="C4" s="15"/>
      <c r="D4" s="34"/>
      <c r="E4" s="37"/>
      <c r="F4" s="35">
        <f t="shared" ref="F4:F34" si="2">E4/$F$2</f>
        <v>0</v>
      </c>
      <c r="G4" s="36">
        <v>5</v>
      </c>
      <c r="H4" s="36">
        <v>0</v>
      </c>
      <c r="I4" s="36">
        <v>1</v>
      </c>
      <c r="J4" s="40">
        <f t="shared" si="0"/>
        <v>4</v>
      </c>
      <c r="K4" s="40">
        <f t="shared" si="1"/>
        <v>0</v>
      </c>
      <c r="L4" s="40">
        <f t="shared" ref="L4:L34" si="3">SUM(G4:K4)</f>
        <v>10</v>
      </c>
      <c r="N4" s="20" t="s">
        <v>40</v>
      </c>
    </row>
    <row r="5" spans="1:14" ht="15">
      <c r="A5" s="13">
        <v>3</v>
      </c>
      <c r="B5" s="15"/>
      <c r="C5" s="15"/>
      <c r="D5" s="34"/>
      <c r="E5" s="37"/>
      <c r="F5" s="35">
        <f t="shared" si="2"/>
        <v>0</v>
      </c>
      <c r="G5" s="36">
        <v>5</v>
      </c>
      <c r="H5" s="36">
        <v>0</v>
      </c>
      <c r="I5" s="36">
        <v>1</v>
      </c>
      <c r="J5" s="40">
        <f t="shared" si="0"/>
        <v>4</v>
      </c>
      <c r="K5" s="40">
        <f t="shared" si="1"/>
        <v>0</v>
      </c>
      <c r="L5" s="40">
        <f t="shared" si="3"/>
        <v>10</v>
      </c>
      <c r="N5" s="20" t="s">
        <v>41</v>
      </c>
    </row>
    <row r="6" spans="1:14" ht="15">
      <c r="A6" s="13">
        <v>4</v>
      </c>
      <c r="B6" s="15"/>
      <c r="C6" s="15"/>
      <c r="D6" s="34"/>
      <c r="E6" s="37"/>
      <c r="F6" s="35">
        <f t="shared" si="2"/>
        <v>0</v>
      </c>
      <c r="G6" s="36">
        <v>5</v>
      </c>
      <c r="H6" s="36">
        <v>0</v>
      </c>
      <c r="I6" s="36">
        <v>1</v>
      </c>
      <c r="J6" s="40">
        <f t="shared" si="0"/>
        <v>4</v>
      </c>
      <c r="K6" s="40">
        <f t="shared" si="1"/>
        <v>0</v>
      </c>
      <c r="L6" s="40">
        <f t="shared" si="3"/>
        <v>10</v>
      </c>
      <c r="N6" s="20" t="s">
        <v>42</v>
      </c>
    </row>
    <row r="7" spans="1:14" ht="15">
      <c r="A7" s="13">
        <v>5</v>
      </c>
      <c r="B7" s="15"/>
      <c r="C7" s="15"/>
      <c r="D7" s="34"/>
      <c r="E7" s="37"/>
      <c r="F7" s="35">
        <f t="shared" si="2"/>
        <v>0</v>
      </c>
      <c r="G7" s="36">
        <v>5</v>
      </c>
      <c r="H7" s="36">
        <v>0</v>
      </c>
      <c r="I7" s="36">
        <v>1</v>
      </c>
      <c r="J7" s="40">
        <f t="shared" si="0"/>
        <v>4</v>
      </c>
      <c r="K7" s="40">
        <f t="shared" si="1"/>
        <v>0</v>
      </c>
      <c r="L7" s="40">
        <f t="shared" si="3"/>
        <v>10</v>
      </c>
    </row>
    <row r="8" spans="1:14" ht="15">
      <c r="A8" s="13">
        <v>6</v>
      </c>
      <c r="B8" s="15"/>
      <c r="C8" s="15"/>
      <c r="D8" s="34"/>
      <c r="E8" s="37"/>
      <c r="F8" s="35">
        <f t="shared" si="2"/>
        <v>0</v>
      </c>
      <c r="G8" s="36">
        <v>5</v>
      </c>
      <c r="H8" s="36">
        <v>0</v>
      </c>
      <c r="I8" s="36">
        <v>1</v>
      </c>
      <c r="J8" s="40">
        <f t="shared" si="0"/>
        <v>4</v>
      </c>
      <c r="K8" s="40">
        <f t="shared" si="1"/>
        <v>0</v>
      </c>
      <c r="L8" s="40">
        <f t="shared" si="3"/>
        <v>10</v>
      </c>
    </row>
    <row r="9" spans="1:14" ht="15">
      <c r="A9" s="13">
        <v>7</v>
      </c>
      <c r="B9" s="15"/>
      <c r="C9" s="15"/>
      <c r="D9" s="34"/>
      <c r="E9" s="37"/>
      <c r="F9" s="35">
        <f t="shared" si="2"/>
        <v>0</v>
      </c>
      <c r="G9" s="36">
        <v>5</v>
      </c>
      <c r="H9" s="36">
        <v>0</v>
      </c>
      <c r="I9" s="36">
        <v>1</v>
      </c>
      <c r="J9" s="40">
        <f t="shared" si="0"/>
        <v>4</v>
      </c>
      <c r="K9" s="40">
        <f t="shared" si="1"/>
        <v>0</v>
      </c>
      <c r="L9" s="40">
        <f t="shared" si="3"/>
        <v>10</v>
      </c>
    </row>
    <row r="10" spans="1:14" ht="15">
      <c r="A10" s="13">
        <v>8</v>
      </c>
      <c r="B10" s="15"/>
      <c r="C10" s="15"/>
      <c r="D10" s="34"/>
      <c r="E10" s="37"/>
      <c r="F10" s="35">
        <f t="shared" si="2"/>
        <v>0</v>
      </c>
      <c r="G10" s="36">
        <v>5</v>
      </c>
      <c r="H10" s="36">
        <v>0</v>
      </c>
      <c r="I10" s="36">
        <v>1</v>
      </c>
      <c r="J10" s="40">
        <f t="shared" si="0"/>
        <v>4</v>
      </c>
      <c r="K10" s="40">
        <f t="shared" si="1"/>
        <v>0</v>
      </c>
      <c r="L10" s="40">
        <f t="shared" si="3"/>
        <v>10</v>
      </c>
    </row>
    <row r="11" spans="1:14" ht="15">
      <c r="A11" s="13">
        <v>9</v>
      </c>
      <c r="B11" s="15"/>
      <c r="C11" s="15"/>
      <c r="D11" s="34"/>
      <c r="E11" s="37"/>
      <c r="F11" s="35">
        <f t="shared" si="2"/>
        <v>0</v>
      </c>
      <c r="G11" s="36">
        <v>5</v>
      </c>
      <c r="H11" s="36">
        <v>0</v>
      </c>
      <c r="I11" s="36">
        <v>1</v>
      </c>
      <c r="J11" s="40">
        <f t="shared" si="0"/>
        <v>4</v>
      </c>
      <c r="K11" s="40">
        <f t="shared" si="1"/>
        <v>0</v>
      </c>
      <c r="L11" s="40">
        <f t="shared" si="3"/>
        <v>10</v>
      </c>
    </row>
    <row r="12" spans="1:14" ht="15">
      <c r="A12" s="13">
        <v>10</v>
      </c>
      <c r="B12" s="15"/>
      <c r="C12" s="15"/>
      <c r="D12" s="34"/>
      <c r="E12" s="37"/>
      <c r="F12" s="35">
        <f t="shared" si="2"/>
        <v>0</v>
      </c>
      <c r="G12" s="36">
        <v>5</v>
      </c>
      <c r="H12" s="36">
        <v>0</v>
      </c>
      <c r="I12" s="36">
        <v>1</v>
      </c>
      <c r="J12" s="40">
        <f t="shared" si="0"/>
        <v>4</v>
      </c>
      <c r="K12" s="40">
        <f t="shared" si="1"/>
        <v>0</v>
      </c>
      <c r="L12" s="40">
        <f t="shared" si="3"/>
        <v>10</v>
      </c>
    </row>
    <row r="13" spans="1:14" ht="15">
      <c r="A13" s="13">
        <v>11</v>
      </c>
      <c r="B13" s="15"/>
      <c r="C13" s="15"/>
      <c r="D13" s="34"/>
      <c r="E13" s="37"/>
      <c r="F13" s="35">
        <f t="shared" si="2"/>
        <v>0</v>
      </c>
      <c r="G13" s="36">
        <v>5</v>
      </c>
      <c r="H13" s="36">
        <v>0</v>
      </c>
      <c r="I13" s="36">
        <v>1</v>
      </c>
      <c r="J13" s="40">
        <f t="shared" si="0"/>
        <v>4</v>
      </c>
      <c r="K13" s="40">
        <f t="shared" si="1"/>
        <v>0</v>
      </c>
      <c r="L13" s="40">
        <f t="shared" si="3"/>
        <v>10</v>
      </c>
    </row>
    <row r="14" spans="1:14" ht="15">
      <c r="A14" s="13">
        <v>12</v>
      </c>
      <c r="B14" s="15"/>
      <c r="C14" s="15"/>
      <c r="D14" s="34"/>
      <c r="E14" s="37"/>
      <c r="F14" s="35">
        <f t="shared" si="2"/>
        <v>0</v>
      </c>
      <c r="G14" s="36">
        <v>5</v>
      </c>
      <c r="H14" s="36">
        <v>0</v>
      </c>
      <c r="I14" s="36">
        <v>1</v>
      </c>
      <c r="J14" s="40">
        <f t="shared" si="0"/>
        <v>4</v>
      </c>
      <c r="K14" s="40">
        <f t="shared" si="1"/>
        <v>0</v>
      </c>
      <c r="L14" s="40">
        <f t="shared" si="3"/>
        <v>10</v>
      </c>
    </row>
    <row r="15" spans="1:14" ht="15">
      <c r="A15" s="13">
        <v>13</v>
      </c>
      <c r="B15" s="15"/>
      <c r="C15" s="15"/>
      <c r="D15" s="34"/>
      <c r="E15" s="37"/>
      <c r="F15" s="35">
        <f t="shared" si="2"/>
        <v>0</v>
      </c>
      <c r="G15" s="36">
        <v>5</v>
      </c>
      <c r="H15" s="36">
        <v>0</v>
      </c>
      <c r="I15" s="36">
        <v>1</v>
      </c>
      <c r="J15" s="40">
        <f t="shared" si="0"/>
        <v>4</v>
      </c>
      <c r="K15" s="40">
        <f t="shared" si="1"/>
        <v>0</v>
      </c>
      <c r="L15" s="40">
        <f t="shared" si="3"/>
        <v>10</v>
      </c>
    </row>
    <row r="16" spans="1:14" ht="15">
      <c r="A16" s="13">
        <v>14</v>
      </c>
      <c r="B16" s="15"/>
      <c r="C16" s="15"/>
      <c r="D16" s="34"/>
      <c r="E16" s="37"/>
      <c r="F16" s="35">
        <f t="shared" si="2"/>
        <v>0</v>
      </c>
      <c r="G16" s="36">
        <v>5</v>
      </c>
      <c r="H16" s="36">
        <v>0</v>
      </c>
      <c r="I16" s="36">
        <v>1</v>
      </c>
      <c r="J16" s="40">
        <f t="shared" si="0"/>
        <v>4</v>
      </c>
      <c r="K16" s="40">
        <f t="shared" si="1"/>
        <v>0</v>
      </c>
      <c r="L16" s="40">
        <f t="shared" si="3"/>
        <v>10</v>
      </c>
    </row>
    <row r="17" spans="1:12" ht="15">
      <c r="A17" s="13">
        <v>15</v>
      </c>
      <c r="B17" s="15"/>
      <c r="C17" s="15"/>
      <c r="D17" s="34"/>
      <c r="E17" s="37"/>
      <c r="F17" s="35">
        <f t="shared" si="2"/>
        <v>0</v>
      </c>
      <c r="G17" s="36">
        <v>5</v>
      </c>
      <c r="H17" s="36">
        <v>0</v>
      </c>
      <c r="I17" s="36">
        <v>1</v>
      </c>
      <c r="J17" s="40">
        <f t="shared" si="0"/>
        <v>4</v>
      </c>
      <c r="K17" s="40">
        <f t="shared" si="1"/>
        <v>0</v>
      </c>
      <c r="L17" s="40">
        <f t="shared" si="3"/>
        <v>10</v>
      </c>
    </row>
    <row r="18" spans="1:12" ht="15">
      <c r="A18" s="13">
        <v>16</v>
      </c>
      <c r="B18" s="15"/>
      <c r="C18" s="15"/>
      <c r="D18" s="34"/>
      <c r="E18" s="37"/>
      <c r="F18" s="35">
        <f t="shared" si="2"/>
        <v>0</v>
      </c>
      <c r="G18" s="36">
        <v>5</v>
      </c>
      <c r="H18" s="36">
        <v>0</v>
      </c>
      <c r="I18" s="36">
        <v>1</v>
      </c>
      <c r="J18" s="40">
        <f t="shared" si="0"/>
        <v>4</v>
      </c>
      <c r="K18" s="40">
        <f t="shared" si="1"/>
        <v>0</v>
      </c>
      <c r="L18" s="40">
        <f t="shared" si="3"/>
        <v>10</v>
      </c>
    </row>
    <row r="19" spans="1:12" ht="15">
      <c r="A19" s="13">
        <v>17</v>
      </c>
      <c r="B19" s="15"/>
      <c r="C19" s="15"/>
      <c r="D19" s="34"/>
      <c r="E19" s="37"/>
      <c r="F19" s="35">
        <f t="shared" si="2"/>
        <v>0</v>
      </c>
      <c r="G19" s="36">
        <v>5</v>
      </c>
      <c r="H19" s="36">
        <v>0</v>
      </c>
      <c r="I19" s="36">
        <v>1</v>
      </c>
      <c r="J19" s="40">
        <f t="shared" si="0"/>
        <v>4</v>
      </c>
      <c r="K19" s="40">
        <f t="shared" si="1"/>
        <v>0</v>
      </c>
      <c r="L19" s="40">
        <f t="shared" si="3"/>
        <v>10</v>
      </c>
    </row>
    <row r="20" spans="1:12" ht="15">
      <c r="A20" s="13">
        <v>18</v>
      </c>
      <c r="B20" s="15"/>
      <c r="C20" s="15"/>
      <c r="D20" s="34"/>
      <c r="E20" s="37"/>
      <c r="F20" s="35">
        <f t="shared" si="2"/>
        <v>0</v>
      </c>
      <c r="G20" s="36">
        <v>5</v>
      </c>
      <c r="H20" s="36">
        <v>0</v>
      </c>
      <c r="I20" s="36">
        <v>1</v>
      </c>
      <c r="J20" s="40">
        <f t="shared" si="0"/>
        <v>4</v>
      </c>
      <c r="K20" s="40">
        <f t="shared" si="1"/>
        <v>0</v>
      </c>
      <c r="L20" s="40">
        <f t="shared" si="3"/>
        <v>10</v>
      </c>
    </row>
    <row r="21" spans="1:12" ht="15">
      <c r="A21" s="13">
        <v>19</v>
      </c>
      <c r="B21" s="15"/>
      <c r="C21" s="15"/>
      <c r="D21" s="34"/>
      <c r="E21" s="37"/>
      <c r="F21" s="35">
        <f t="shared" si="2"/>
        <v>0</v>
      </c>
      <c r="G21" s="36">
        <v>5</v>
      </c>
      <c r="H21" s="36">
        <v>0</v>
      </c>
      <c r="I21" s="36">
        <v>1</v>
      </c>
      <c r="J21" s="40">
        <f t="shared" si="0"/>
        <v>4</v>
      </c>
      <c r="K21" s="40">
        <f t="shared" si="1"/>
        <v>0</v>
      </c>
      <c r="L21" s="40">
        <f t="shared" si="3"/>
        <v>10</v>
      </c>
    </row>
    <row r="22" spans="1:12" ht="15">
      <c r="A22" s="13">
        <v>20</v>
      </c>
      <c r="B22" s="15"/>
      <c r="C22" s="15"/>
      <c r="D22" s="34"/>
      <c r="E22" s="37"/>
      <c r="F22" s="35">
        <f t="shared" si="2"/>
        <v>0</v>
      </c>
      <c r="G22" s="36">
        <v>5</v>
      </c>
      <c r="H22" s="36">
        <v>0</v>
      </c>
      <c r="I22" s="36">
        <v>1</v>
      </c>
      <c r="J22" s="40">
        <f t="shared" si="0"/>
        <v>4</v>
      </c>
      <c r="K22" s="40">
        <f t="shared" si="1"/>
        <v>0</v>
      </c>
      <c r="L22" s="40">
        <f t="shared" si="3"/>
        <v>10</v>
      </c>
    </row>
    <row r="23" spans="1:12" ht="15">
      <c r="A23" s="13">
        <v>21</v>
      </c>
      <c r="B23" s="15"/>
      <c r="C23" s="15"/>
      <c r="D23" s="34"/>
      <c r="E23" s="37"/>
      <c r="F23" s="35">
        <f t="shared" si="2"/>
        <v>0</v>
      </c>
      <c r="G23" s="36">
        <v>5</v>
      </c>
      <c r="H23" s="36">
        <v>0</v>
      </c>
      <c r="I23" s="36">
        <v>1</v>
      </c>
      <c r="J23" s="40">
        <f t="shared" si="0"/>
        <v>4</v>
      </c>
      <c r="K23" s="40">
        <f t="shared" si="1"/>
        <v>0</v>
      </c>
      <c r="L23" s="40">
        <f t="shared" si="3"/>
        <v>10</v>
      </c>
    </row>
    <row r="24" spans="1:12" ht="15">
      <c r="A24" s="13">
        <v>22</v>
      </c>
      <c r="B24" s="15"/>
      <c r="C24" s="15"/>
      <c r="D24" s="34"/>
      <c r="E24" s="37"/>
      <c r="F24" s="35">
        <f t="shared" si="2"/>
        <v>0</v>
      </c>
      <c r="G24" s="36">
        <v>5</v>
      </c>
      <c r="H24" s="36">
        <v>0</v>
      </c>
      <c r="I24" s="36">
        <v>1</v>
      </c>
      <c r="J24" s="40">
        <f t="shared" si="0"/>
        <v>4</v>
      </c>
      <c r="K24" s="40">
        <f t="shared" si="1"/>
        <v>0</v>
      </c>
      <c r="L24" s="40">
        <f t="shared" si="3"/>
        <v>10</v>
      </c>
    </row>
    <row r="25" spans="1:12" ht="15">
      <c r="A25" s="13">
        <v>23</v>
      </c>
      <c r="B25" s="15"/>
      <c r="C25" s="15"/>
      <c r="D25" s="34"/>
      <c r="E25" s="37"/>
      <c r="F25" s="35">
        <f t="shared" si="2"/>
        <v>0</v>
      </c>
      <c r="G25" s="36">
        <v>5</v>
      </c>
      <c r="H25" s="36">
        <v>0</v>
      </c>
      <c r="I25" s="36">
        <v>1</v>
      </c>
      <c r="J25" s="40">
        <f t="shared" si="0"/>
        <v>4</v>
      </c>
      <c r="K25" s="40">
        <f t="shared" si="1"/>
        <v>0</v>
      </c>
      <c r="L25" s="40">
        <f t="shared" si="3"/>
        <v>10</v>
      </c>
    </row>
    <row r="26" spans="1:12" ht="15">
      <c r="A26" s="13">
        <v>24</v>
      </c>
      <c r="B26" s="15"/>
      <c r="C26" s="15"/>
      <c r="D26" s="34"/>
      <c r="E26" s="37"/>
      <c r="F26" s="35">
        <f t="shared" si="2"/>
        <v>0</v>
      </c>
      <c r="G26" s="36">
        <v>5</v>
      </c>
      <c r="H26" s="36">
        <v>0</v>
      </c>
      <c r="I26" s="36">
        <v>1</v>
      </c>
      <c r="J26" s="40">
        <f t="shared" si="0"/>
        <v>4</v>
      </c>
      <c r="K26" s="40">
        <f t="shared" si="1"/>
        <v>0</v>
      </c>
      <c r="L26" s="40">
        <f t="shared" si="3"/>
        <v>10</v>
      </c>
    </row>
    <row r="27" spans="1:12" ht="15">
      <c r="A27" s="13">
        <v>25</v>
      </c>
      <c r="B27" s="15"/>
      <c r="C27" s="15"/>
      <c r="D27" s="34"/>
      <c r="E27" s="37"/>
      <c r="F27" s="35">
        <f t="shared" si="2"/>
        <v>0</v>
      </c>
      <c r="G27" s="36">
        <v>5</v>
      </c>
      <c r="H27" s="36">
        <v>0</v>
      </c>
      <c r="I27" s="36">
        <v>1</v>
      </c>
      <c r="J27" s="40">
        <f t="shared" si="0"/>
        <v>4</v>
      </c>
      <c r="K27" s="40">
        <f t="shared" si="1"/>
        <v>0</v>
      </c>
      <c r="L27" s="40">
        <f t="shared" si="3"/>
        <v>10</v>
      </c>
    </row>
    <row r="28" spans="1:12" ht="15">
      <c r="A28" s="13">
        <v>26</v>
      </c>
      <c r="B28" s="15"/>
      <c r="C28" s="15"/>
      <c r="D28" s="34"/>
      <c r="E28" s="37"/>
      <c r="F28" s="35">
        <f t="shared" si="2"/>
        <v>0</v>
      </c>
      <c r="G28" s="36">
        <v>5</v>
      </c>
      <c r="H28" s="36">
        <v>0</v>
      </c>
      <c r="I28" s="36">
        <v>1</v>
      </c>
      <c r="J28" s="40">
        <f t="shared" si="0"/>
        <v>4</v>
      </c>
      <c r="K28" s="40">
        <f t="shared" si="1"/>
        <v>0</v>
      </c>
      <c r="L28" s="40">
        <f t="shared" si="3"/>
        <v>10</v>
      </c>
    </row>
    <row r="29" spans="1:12" ht="15">
      <c r="A29" s="13">
        <v>27</v>
      </c>
      <c r="B29" s="15"/>
      <c r="C29" s="15"/>
      <c r="D29" s="34"/>
      <c r="E29" s="37"/>
      <c r="F29" s="35">
        <f t="shared" si="2"/>
        <v>0</v>
      </c>
      <c r="G29" s="36">
        <v>5</v>
      </c>
      <c r="H29" s="36">
        <v>0</v>
      </c>
      <c r="I29" s="36">
        <v>1</v>
      </c>
      <c r="J29" s="40">
        <f t="shared" ref="J29:J34" si="4">IF(F29=0%,4,IF(F29&lt;10%,3,IF(F29&lt;=20%,2,IF(F29&lt;=30%,1,0))))</f>
        <v>4</v>
      </c>
      <c r="K29" s="40">
        <f t="shared" ref="K29:K34" si="5">IF(D29&lt;5,0,IF(D29&lt;6,2,IF(D29&lt;7,3,IF(D29&lt;8,4,IF(D29&lt;9,5,6)))))</f>
        <v>0</v>
      </c>
      <c r="L29" s="40">
        <f t="shared" si="3"/>
        <v>10</v>
      </c>
    </row>
    <row r="30" spans="1:12" ht="15">
      <c r="A30" s="13">
        <v>28</v>
      </c>
      <c r="B30" s="15"/>
      <c r="C30" s="15"/>
      <c r="D30" s="34"/>
      <c r="E30" s="37"/>
      <c r="F30" s="35">
        <f t="shared" si="2"/>
        <v>0</v>
      </c>
      <c r="G30" s="36">
        <v>5</v>
      </c>
      <c r="H30" s="36">
        <v>0</v>
      </c>
      <c r="I30" s="36">
        <v>1</v>
      </c>
      <c r="J30" s="40">
        <f t="shared" si="4"/>
        <v>4</v>
      </c>
      <c r="K30" s="40">
        <f t="shared" si="5"/>
        <v>0</v>
      </c>
      <c r="L30" s="40">
        <f t="shared" si="3"/>
        <v>10</v>
      </c>
    </row>
    <row r="31" spans="1:12" ht="15">
      <c r="A31" s="13">
        <v>29</v>
      </c>
      <c r="B31" s="15"/>
      <c r="C31" s="15"/>
      <c r="D31" s="34"/>
      <c r="E31" s="37"/>
      <c r="F31" s="35">
        <f t="shared" si="2"/>
        <v>0</v>
      </c>
      <c r="G31" s="36">
        <v>5</v>
      </c>
      <c r="H31" s="36">
        <v>0</v>
      </c>
      <c r="I31" s="36">
        <v>1</v>
      </c>
      <c r="J31" s="40">
        <f t="shared" si="4"/>
        <v>4</v>
      </c>
      <c r="K31" s="40">
        <f t="shared" si="5"/>
        <v>0</v>
      </c>
      <c r="L31" s="40">
        <f t="shared" si="3"/>
        <v>10</v>
      </c>
    </row>
    <row r="32" spans="1:12" ht="15">
      <c r="A32" s="13">
        <v>30</v>
      </c>
      <c r="B32" s="15"/>
      <c r="C32" s="15"/>
      <c r="D32" s="34"/>
      <c r="E32" s="37"/>
      <c r="F32" s="35">
        <f t="shared" si="2"/>
        <v>0</v>
      </c>
      <c r="G32" s="36">
        <v>5</v>
      </c>
      <c r="H32" s="36">
        <v>0</v>
      </c>
      <c r="I32" s="36">
        <v>1</v>
      </c>
      <c r="J32" s="40">
        <f t="shared" si="4"/>
        <v>4</v>
      </c>
      <c r="K32" s="40">
        <f t="shared" si="5"/>
        <v>0</v>
      </c>
      <c r="L32" s="40">
        <f t="shared" si="3"/>
        <v>10</v>
      </c>
    </row>
    <row r="33" spans="1:12" ht="15">
      <c r="A33" s="13">
        <v>31</v>
      </c>
      <c r="B33" s="15"/>
      <c r="C33" s="15"/>
      <c r="D33" s="34"/>
      <c r="E33" s="37"/>
      <c r="F33" s="35">
        <f t="shared" si="2"/>
        <v>0</v>
      </c>
      <c r="G33" s="36">
        <v>5</v>
      </c>
      <c r="H33" s="36">
        <v>0</v>
      </c>
      <c r="I33" s="36">
        <v>1</v>
      </c>
      <c r="J33" s="40">
        <f t="shared" si="4"/>
        <v>4</v>
      </c>
      <c r="K33" s="40">
        <f t="shared" si="5"/>
        <v>0</v>
      </c>
      <c r="L33" s="40">
        <f t="shared" si="3"/>
        <v>10</v>
      </c>
    </row>
    <row r="34" spans="1:12" ht="15">
      <c r="A34" s="13">
        <v>32</v>
      </c>
      <c r="B34" s="15"/>
      <c r="C34" s="15"/>
      <c r="D34" s="34"/>
      <c r="E34" s="37"/>
      <c r="F34" s="35">
        <f t="shared" si="2"/>
        <v>0</v>
      </c>
      <c r="G34" s="36">
        <v>5</v>
      </c>
      <c r="H34" s="36">
        <v>0</v>
      </c>
      <c r="I34" s="36">
        <v>1</v>
      </c>
      <c r="J34" s="40">
        <f t="shared" si="4"/>
        <v>4</v>
      </c>
      <c r="K34" s="40">
        <f t="shared" si="5"/>
        <v>0</v>
      </c>
      <c r="L34" s="40">
        <f t="shared" si="3"/>
        <v>10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34"/>
  <sheetViews>
    <sheetView workbookViewId="0">
      <pane ySplit="2" topLeftCell="A3" activePane="bottomLeft" state="frozen"/>
      <selection pane="bottomLeft" activeCell="F1" sqref="F1:F1048576"/>
    </sheetView>
  </sheetViews>
  <sheetFormatPr defaultColWidth="8.85546875" defaultRowHeight="12.75"/>
  <cols>
    <col min="2" max="2" width="10" customWidth="1"/>
    <col min="3" max="3" width="16.85546875" customWidth="1"/>
    <col min="4" max="9" width="19.140625" customWidth="1"/>
  </cols>
  <sheetData>
    <row r="1" spans="1:12" ht="63">
      <c r="A1" s="76" t="s">
        <v>6</v>
      </c>
      <c r="B1" s="76" t="s">
        <v>7</v>
      </c>
      <c r="C1" s="76" t="s">
        <v>8</v>
      </c>
      <c r="D1" s="11" t="s">
        <v>43</v>
      </c>
      <c r="E1" s="11" t="s">
        <v>44</v>
      </c>
      <c r="F1" s="11" t="s">
        <v>45</v>
      </c>
      <c r="G1" s="11" t="s">
        <v>46</v>
      </c>
      <c r="H1" s="11" t="s">
        <v>47</v>
      </c>
      <c r="I1" s="11" t="s">
        <v>48</v>
      </c>
      <c r="J1" s="11" t="s">
        <v>49</v>
      </c>
    </row>
    <row r="2" spans="1:12" ht="15.75">
      <c r="A2" s="77"/>
      <c r="B2" s="77"/>
      <c r="C2" s="77"/>
      <c r="D2" s="28">
        <v>3</v>
      </c>
      <c r="E2" s="28">
        <v>4</v>
      </c>
      <c r="F2" s="28">
        <v>6</v>
      </c>
      <c r="G2" s="28">
        <v>4</v>
      </c>
      <c r="H2" s="28">
        <v>4</v>
      </c>
      <c r="I2" s="28">
        <v>4</v>
      </c>
      <c r="J2" s="28">
        <v>25</v>
      </c>
    </row>
    <row r="3" spans="1:12" ht="15">
      <c r="A3" s="13">
        <v>1</v>
      </c>
      <c r="B3" s="14"/>
      <c r="C3" s="14"/>
      <c r="D3" s="18">
        <v>3</v>
      </c>
      <c r="E3" s="18">
        <v>4</v>
      </c>
      <c r="F3" s="17">
        <v>6</v>
      </c>
      <c r="G3" s="18">
        <v>4</v>
      </c>
      <c r="H3" s="18">
        <v>4</v>
      </c>
      <c r="I3" s="18">
        <v>4</v>
      </c>
      <c r="J3" s="18">
        <f>SUM(D3:I3)</f>
        <v>25</v>
      </c>
      <c r="L3" s="20" t="s">
        <v>50</v>
      </c>
    </row>
    <row r="4" spans="1:12" ht="15">
      <c r="A4" s="13">
        <v>2</v>
      </c>
      <c r="B4" s="14"/>
      <c r="C4" s="14"/>
      <c r="D4" s="18">
        <v>3</v>
      </c>
      <c r="E4" s="18">
        <v>4</v>
      </c>
      <c r="F4" s="17">
        <v>6</v>
      </c>
      <c r="G4" s="18">
        <v>4</v>
      </c>
      <c r="H4" s="18">
        <v>4</v>
      </c>
      <c r="I4" s="18">
        <v>4</v>
      </c>
      <c r="J4" s="18">
        <f t="shared" ref="J4:J34" si="0">SUM(D4:I4)</f>
        <v>25</v>
      </c>
      <c r="L4" s="29" t="s">
        <v>51</v>
      </c>
    </row>
    <row r="5" spans="1:12" ht="15">
      <c r="A5" s="13">
        <v>3</v>
      </c>
      <c r="B5" s="14"/>
      <c r="C5" s="14"/>
      <c r="D5" s="18">
        <v>3</v>
      </c>
      <c r="E5" s="18">
        <v>4</v>
      </c>
      <c r="F5" s="17">
        <v>6</v>
      </c>
      <c r="G5" s="18">
        <v>4</v>
      </c>
      <c r="H5" s="18">
        <v>4</v>
      </c>
      <c r="I5" s="18">
        <v>4</v>
      </c>
      <c r="J5" s="18">
        <f t="shared" si="0"/>
        <v>25</v>
      </c>
      <c r="L5" s="29"/>
    </row>
    <row r="6" spans="1:12" ht="15">
      <c r="A6" s="13">
        <v>4</v>
      </c>
      <c r="B6" s="14"/>
      <c r="C6" s="14"/>
      <c r="D6" s="18">
        <v>3</v>
      </c>
      <c r="E6" s="18">
        <v>4</v>
      </c>
      <c r="F6" s="17">
        <v>6</v>
      </c>
      <c r="G6" s="18">
        <v>4</v>
      </c>
      <c r="H6" s="18">
        <v>4</v>
      </c>
      <c r="I6" s="18">
        <v>4</v>
      </c>
      <c r="J6" s="18">
        <f t="shared" si="0"/>
        <v>25</v>
      </c>
    </row>
    <row r="7" spans="1:12" ht="15">
      <c r="A7" s="13">
        <v>5</v>
      </c>
      <c r="B7" s="14"/>
      <c r="C7" s="14"/>
      <c r="D7" s="18">
        <v>3</v>
      </c>
      <c r="E7" s="18">
        <v>4</v>
      </c>
      <c r="F7" s="17">
        <v>6</v>
      </c>
      <c r="G7" s="18">
        <v>4</v>
      </c>
      <c r="H7" s="18">
        <v>4</v>
      </c>
      <c r="I7" s="18">
        <v>4</v>
      </c>
      <c r="J7" s="18">
        <f t="shared" si="0"/>
        <v>25</v>
      </c>
    </row>
    <row r="8" spans="1:12" ht="15">
      <c r="A8" s="13">
        <v>6</v>
      </c>
      <c r="B8" s="14"/>
      <c r="C8" s="14"/>
      <c r="D8" s="18">
        <v>3</v>
      </c>
      <c r="E8" s="18">
        <v>4</v>
      </c>
      <c r="F8" s="17">
        <v>6</v>
      </c>
      <c r="G8" s="18">
        <v>4</v>
      </c>
      <c r="H8" s="18">
        <v>4</v>
      </c>
      <c r="I8" s="18">
        <v>4</v>
      </c>
      <c r="J8" s="18">
        <f t="shared" si="0"/>
        <v>25</v>
      </c>
    </row>
    <row r="9" spans="1:12" ht="15">
      <c r="A9" s="13">
        <v>7</v>
      </c>
      <c r="B9" s="14"/>
      <c r="C9" s="14"/>
      <c r="D9" s="18">
        <v>3</v>
      </c>
      <c r="E9" s="18">
        <v>4</v>
      </c>
      <c r="F9" s="17">
        <v>6</v>
      </c>
      <c r="G9" s="18">
        <v>4</v>
      </c>
      <c r="H9" s="18">
        <v>4</v>
      </c>
      <c r="I9" s="18">
        <v>4</v>
      </c>
      <c r="J9" s="18">
        <f t="shared" si="0"/>
        <v>25</v>
      </c>
    </row>
    <row r="10" spans="1:12" ht="15">
      <c r="A10" s="13">
        <v>8</v>
      </c>
      <c r="B10" s="14"/>
      <c r="C10" s="14"/>
      <c r="D10" s="18">
        <v>3</v>
      </c>
      <c r="E10" s="18">
        <v>4</v>
      </c>
      <c r="F10" s="17">
        <v>6</v>
      </c>
      <c r="G10" s="18">
        <v>4</v>
      </c>
      <c r="H10" s="18">
        <v>4</v>
      </c>
      <c r="I10" s="18">
        <v>4</v>
      </c>
      <c r="J10" s="18">
        <f t="shared" si="0"/>
        <v>25</v>
      </c>
    </row>
    <row r="11" spans="1:12" ht="15">
      <c r="A11" s="13">
        <v>9</v>
      </c>
      <c r="B11" s="14"/>
      <c r="C11" s="14"/>
      <c r="D11" s="18">
        <v>3</v>
      </c>
      <c r="E11" s="18">
        <v>4</v>
      </c>
      <c r="F11" s="17">
        <v>6</v>
      </c>
      <c r="G11" s="18">
        <v>4</v>
      </c>
      <c r="H11" s="18">
        <v>4</v>
      </c>
      <c r="I11" s="18">
        <v>4</v>
      </c>
      <c r="J11" s="18">
        <f t="shared" si="0"/>
        <v>25</v>
      </c>
    </row>
    <row r="12" spans="1:12" ht="15">
      <c r="A12" s="13">
        <v>10</v>
      </c>
      <c r="B12" s="14"/>
      <c r="C12" s="14"/>
      <c r="D12" s="18">
        <v>3</v>
      </c>
      <c r="E12" s="18">
        <v>4</v>
      </c>
      <c r="F12" s="17">
        <v>6</v>
      </c>
      <c r="G12" s="18">
        <v>4</v>
      </c>
      <c r="H12" s="18">
        <v>4</v>
      </c>
      <c r="I12" s="18">
        <v>4</v>
      </c>
      <c r="J12" s="18">
        <f t="shared" si="0"/>
        <v>25</v>
      </c>
    </row>
    <row r="13" spans="1:12" ht="15">
      <c r="A13" s="13">
        <v>11</v>
      </c>
      <c r="B13" s="14"/>
      <c r="C13" s="14"/>
      <c r="D13" s="18">
        <v>3</v>
      </c>
      <c r="E13" s="18">
        <v>4</v>
      </c>
      <c r="F13" s="17">
        <v>6</v>
      </c>
      <c r="G13" s="18">
        <v>4</v>
      </c>
      <c r="H13" s="18">
        <v>4</v>
      </c>
      <c r="I13" s="18">
        <v>4</v>
      </c>
      <c r="J13" s="18">
        <f t="shared" si="0"/>
        <v>25</v>
      </c>
    </row>
    <row r="14" spans="1:12" ht="15">
      <c r="A14" s="13">
        <v>12</v>
      </c>
      <c r="B14" s="14"/>
      <c r="C14" s="14"/>
      <c r="D14" s="18">
        <v>3</v>
      </c>
      <c r="E14" s="18">
        <v>4</v>
      </c>
      <c r="F14" s="17">
        <v>6</v>
      </c>
      <c r="G14" s="18">
        <v>4</v>
      </c>
      <c r="H14" s="18">
        <v>4</v>
      </c>
      <c r="I14" s="18">
        <v>4</v>
      </c>
      <c r="J14" s="18">
        <f t="shared" si="0"/>
        <v>25</v>
      </c>
    </row>
    <row r="15" spans="1:12" ht="15">
      <c r="A15" s="13">
        <v>13</v>
      </c>
      <c r="B15" s="14"/>
      <c r="C15" s="14"/>
      <c r="D15" s="18">
        <v>3</v>
      </c>
      <c r="E15" s="18">
        <v>4</v>
      </c>
      <c r="F15" s="17">
        <v>6</v>
      </c>
      <c r="G15" s="18">
        <v>4</v>
      </c>
      <c r="H15" s="18">
        <v>4</v>
      </c>
      <c r="I15" s="18">
        <v>4</v>
      </c>
      <c r="J15" s="18">
        <f t="shared" si="0"/>
        <v>25</v>
      </c>
    </row>
    <row r="16" spans="1:12" ht="15">
      <c r="A16" s="13">
        <v>14</v>
      </c>
      <c r="B16" s="14"/>
      <c r="C16" s="14"/>
      <c r="D16" s="18">
        <v>3</v>
      </c>
      <c r="E16" s="18">
        <v>4</v>
      </c>
      <c r="F16" s="17">
        <v>6</v>
      </c>
      <c r="G16" s="18">
        <v>4</v>
      </c>
      <c r="H16" s="18">
        <v>4</v>
      </c>
      <c r="I16" s="18">
        <v>4</v>
      </c>
      <c r="J16" s="18">
        <f t="shared" si="0"/>
        <v>25</v>
      </c>
    </row>
    <row r="17" spans="1:10" ht="15">
      <c r="A17" s="13">
        <v>15</v>
      </c>
      <c r="B17" s="14"/>
      <c r="C17" s="14"/>
      <c r="D17" s="18">
        <v>3</v>
      </c>
      <c r="E17" s="18">
        <v>4</v>
      </c>
      <c r="F17" s="17">
        <v>6</v>
      </c>
      <c r="G17" s="18">
        <v>4</v>
      </c>
      <c r="H17" s="18">
        <v>4</v>
      </c>
      <c r="I17" s="18">
        <v>4</v>
      </c>
      <c r="J17" s="18">
        <f t="shared" si="0"/>
        <v>25</v>
      </c>
    </row>
    <row r="18" spans="1:10" ht="15">
      <c r="A18" s="13">
        <v>16</v>
      </c>
      <c r="B18" s="14"/>
      <c r="C18" s="14"/>
      <c r="D18" s="18">
        <v>3</v>
      </c>
      <c r="E18" s="18">
        <v>4</v>
      </c>
      <c r="F18" s="17">
        <v>6</v>
      </c>
      <c r="G18" s="18">
        <v>4</v>
      </c>
      <c r="H18" s="18">
        <v>4</v>
      </c>
      <c r="I18" s="18">
        <v>4</v>
      </c>
      <c r="J18" s="18">
        <f t="shared" si="0"/>
        <v>25</v>
      </c>
    </row>
    <row r="19" spans="1:10" ht="15">
      <c r="A19" s="13">
        <v>17</v>
      </c>
      <c r="B19" s="14"/>
      <c r="C19" s="14"/>
      <c r="D19" s="18">
        <v>3</v>
      </c>
      <c r="E19" s="18">
        <v>4</v>
      </c>
      <c r="F19" s="17">
        <v>6</v>
      </c>
      <c r="G19" s="18">
        <v>4</v>
      </c>
      <c r="H19" s="18">
        <v>4</v>
      </c>
      <c r="I19" s="18">
        <v>4</v>
      </c>
      <c r="J19" s="18">
        <f t="shared" si="0"/>
        <v>25</v>
      </c>
    </row>
    <row r="20" spans="1:10" ht="15">
      <c r="A20" s="13">
        <v>18</v>
      </c>
      <c r="B20" s="14"/>
      <c r="C20" s="14"/>
      <c r="D20" s="18">
        <v>3</v>
      </c>
      <c r="E20" s="18">
        <v>4</v>
      </c>
      <c r="F20" s="17">
        <v>6</v>
      </c>
      <c r="G20" s="18">
        <v>4</v>
      </c>
      <c r="H20" s="18">
        <v>4</v>
      </c>
      <c r="I20" s="18">
        <v>4</v>
      </c>
      <c r="J20" s="18">
        <f t="shared" si="0"/>
        <v>25</v>
      </c>
    </row>
    <row r="21" spans="1:10" ht="15">
      <c r="A21" s="13">
        <v>19</v>
      </c>
      <c r="B21" s="14"/>
      <c r="C21" s="14"/>
      <c r="D21" s="18">
        <v>3</v>
      </c>
      <c r="E21" s="18">
        <v>4</v>
      </c>
      <c r="F21" s="17">
        <v>6</v>
      </c>
      <c r="G21" s="18">
        <v>4</v>
      </c>
      <c r="H21" s="18">
        <v>4</v>
      </c>
      <c r="I21" s="18">
        <v>4</v>
      </c>
      <c r="J21" s="18">
        <f t="shared" si="0"/>
        <v>25</v>
      </c>
    </row>
    <row r="22" spans="1:10" ht="15">
      <c r="A22" s="13">
        <v>20</v>
      </c>
      <c r="B22" s="14"/>
      <c r="C22" s="14"/>
      <c r="D22" s="18">
        <v>3</v>
      </c>
      <c r="E22" s="18">
        <v>4</v>
      </c>
      <c r="F22" s="17">
        <v>6</v>
      </c>
      <c r="G22" s="18">
        <v>4</v>
      </c>
      <c r="H22" s="18">
        <v>4</v>
      </c>
      <c r="I22" s="18">
        <v>4</v>
      </c>
      <c r="J22" s="18">
        <f t="shared" si="0"/>
        <v>25</v>
      </c>
    </row>
    <row r="23" spans="1:10" ht="15">
      <c r="A23" s="13">
        <v>21</v>
      </c>
      <c r="B23" s="14"/>
      <c r="C23" s="14"/>
      <c r="D23" s="18">
        <v>3</v>
      </c>
      <c r="E23" s="18">
        <v>4</v>
      </c>
      <c r="F23" s="17">
        <v>6</v>
      </c>
      <c r="G23" s="18">
        <v>4</v>
      </c>
      <c r="H23" s="18">
        <v>4</v>
      </c>
      <c r="I23" s="18">
        <v>4</v>
      </c>
      <c r="J23" s="18">
        <f t="shared" si="0"/>
        <v>25</v>
      </c>
    </row>
    <row r="24" spans="1:10" ht="15">
      <c r="A24" s="13">
        <v>22</v>
      </c>
      <c r="B24" s="14"/>
      <c r="C24" s="14"/>
      <c r="D24" s="18">
        <v>3</v>
      </c>
      <c r="E24" s="18">
        <v>4</v>
      </c>
      <c r="F24" s="17">
        <v>6</v>
      </c>
      <c r="G24" s="18">
        <v>4</v>
      </c>
      <c r="H24" s="18">
        <v>4</v>
      </c>
      <c r="I24" s="18">
        <v>4</v>
      </c>
      <c r="J24" s="18">
        <f t="shared" si="0"/>
        <v>25</v>
      </c>
    </row>
    <row r="25" spans="1:10" ht="15">
      <c r="A25" s="13">
        <v>23</v>
      </c>
      <c r="B25" s="14"/>
      <c r="C25" s="14"/>
      <c r="D25" s="18">
        <v>3</v>
      </c>
      <c r="E25" s="18">
        <v>4</v>
      </c>
      <c r="F25" s="17">
        <v>6</v>
      </c>
      <c r="G25" s="18">
        <v>4</v>
      </c>
      <c r="H25" s="18">
        <v>4</v>
      </c>
      <c r="I25" s="18">
        <v>4</v>
      </c>
      <c r="J25" s="18">
        <f t="shared" si="0"/>
        <v>25</v>
      </c>
    </row>
    <row r="26" spans="1:10" ht="15">
      <c r="A26" s="13">
        <v>24</v>
      </c>
      <c r="B26" s="14"/>
      <c r="C26" s="14"/>
      <c r="D26" s="18">
        <v>3</v>
      </c>
      <c r="E26" s="18">
        <v>4</v>
      </c>
      <c r="F26" s="17">
        <v>6</v>
      </c>
      <c r="G26" s="18">
        <v>4</v>
      </c>
      <c r="H26" s="18">
        <v>4</v>
      </c>
      <c r="I26" s="18">
        <v>4</v>
      </c>
      <c r="J26" s="18">
        <f t="shared" si="0"/>
        <v>25</v>
      </c>
    </row>
    <row r="27" spans="1:10" ht="15">
      <c r="A27" s="13">
        <v>25</v>
      </c>
      <c r="B27" s="14"/>
      <c r="C27" s="14"/>
      <c r="D27" s="18">
        <v>3</v>
      </c>
      <c r="E27" s="18">
        <v>4</v>
      </c>
      <c r="F27" s="17">
        <v>6</v>
      </c>
      <c r="G27" s="18">
        <v>4</v>
      </c>
      <c r="H27" s="18">
        <v>4</v>
      </c>
      <c r="I27" s="18">
        <v>4</v>
      </c>
      <c r="J27" s="18">
        <f t="shared" si="0"/>
        <v>25</v>
      </c>
    </row>
    <row r="28" spans="1:10" ht="15">
      <c r="A28" s="13">
        <v>26</v>
      </c>
      <c r="B28" s="14"/>
      <c r="C28" s="14"/>
      <c r="D28" s="18">
        <v>3</v>
      </c>
      <c r="E28" s="18">
        <v>4</v>
      </c>
      <c r="F28" s="17">
        <v>6</v>
      </c>
      <c r="G28" s="18">
        <v>4</v>
      </c>
      <c r="H28" s="18">
        <v>4</v>
      </c>
      <c r="I28" s="18">
        <v>4</v>
      </c>
      <c r="J28" s="18">
        <f t="shared" si="0"/>
        <v>25</v>
      </c>
    </row>
    <row r="29" spans="1:10" ht="15">
      <c r="A29" s="13">
        <v>27</v>
      </c>
      <c r="B29" s="14"/>
      <c r="C29" s="14"/>
      <c r="D29" s="18">
        <v>3</v>
      </c>
      <c r="E29" s="18">
        <v>4</v>
      </c>
      <c r="F29" s="17">
        <v>6</v>
      </c>
      <c r="G29" s="18">
        <v>4</v>
      </c>
      <c r="H29" s="18">
        <v>4</v>
      </c>
      <c r="I29" s="18">
        <v>4</v>
      </c>
      <c r="J29" s="18">
        <f t="shared" si="0"/>
        <v>25</v>
      </c>
    </row>
    <row r="30" spans="1:10" ht="15">
      <c r="A30" s="13">
        <v>28</v>
      </c>
      <c r="B30" s="14"/>
      <c r="C30" s="14"/>
      <c r="D30" s="18">
        <v>3</v>
      </c>
      <c r="E30" s="18">
        <v>4</v>
      </c>
      <c r="F30" s="17">
        <v>6</v>
      </c>
      <c r="G30" s="18">
        <v>4</v>
      </c>
      <c r="H30" s="18">
        <v>4</v>
      </c>
      <c r="I30" s="18">
        <v>4</v>
      </c>
      <c r="J30" s="18">
        <f t="shared" si="0"/>
        <v>25</v>
      </c>
    </row>
    <row r="31" spans="1:10" ht="15">
      <c r="A31" s="13">
        <v>29</v>
      </c>
      <c r="B31" s="14"/>
      <c r="C31" s="14"/>
      <c r="D31" s="18">
        <v>3</v>
      </c>
      <c r="E31" s="18">
        <v>4</v>
      </c>
      <c r="F31" s="17">
        <v>6</v>
      </c>
      <c r="G31" s="18">
        <v>4</v>
      </c>
      <c r="H31" s="18">
        <v>4</v>
      </c>
      <c r="I31" s="18">
        <v>4</v>
      </c>
      <c r="J31" s="18">
        <f t="shared" si="0"/>
        <v>25</v>
      </c>
    </row>
    <row r="32" spans="1:10" ht="15">
      <c r="A32" s="13">
        <v>30</v>
      </c>
      <c r="B32" s="14"/>
      <c r="C32" s="14"/>
      <c r="D32" s="18">
        <v>3</v>
      </c>
      <c r="E32" s="18">
        <v>4</v>
      </c>
      <c r="F32" s="17">
        <v>6</v>
      </c>
      <c r="G32" s="18">
        <v>4</v>
      </c>
      <c r="H32" s="18">
        <v>4</v>
      </c>
      <c r="I32" s="18">
        <v>4</v>
      </c>
      <c r="J32" s="18">
        <f t="shared" si="0"/>
        <v>25</v>
      </c>
    </row>
    <row r="33" spans="1:10" ht="15">
      <c r="A33" s="13">
        <v>31</v>
      </c>
      <c r="B33" s="14"/>
      <c r="C33" s="14"/>
      <c r="D33" s="18">
        <v>3</v>
      </c>
      <c r="E33" s="18">
        <v>4</v>
      </c>
      <c r="F33" s="17">
        <v>6</v>
      </c>
      <c r="G33" s="18">
        <v>4</v>
      </c>
      <c r="H33" s="18">
        <v>4</v>
      </c>
      <c r="I33" s="18">
        <v>4</v>
      </c>
      <c r="J33" s="18">
        <f t="shared" si="0"/>
        <v>25</v>
      </c>
    </row>
    <row r="34" spans="1:10" ht="15">
      <c r="A34" s="13">
        <v>32</v>
      </c>
      <c r="B34" s="14"/>
      <c r="C34" s="14"/>
      <c r="D34" s="18">
        <v>3</v>
      </c>
      <c r="E34" s="18">
        <v>4</v>
      </c>
      <c r="F34" s="17">
        <v>6</v>
      </c>
      <c r="G34" s="18">
        <v>4</v>
      </c>
      <c r="H34" s="18">
        <v>4</v>
      </c>
      <c r="I34" s="18">
        <v>4</v>
      </c>
      <c r="J34" s="18">
        <f t="shared" si="0"/>
        <v>25</v>
      </c>
    </row>
  </sheetData>
  <mergeCells count="3">
    <mergeCell ref="A1:A2"/>
    <mergeCell ref="B1:B2"/>
    <mergeCell ref="C1:C2"/>
  </mergeCells>
  <pageMargins left="0.7" right="0.7" top="0.75" bottom="0.75" header="0.3" footer="0.3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7"/>
  <sheetViews>
    <sheetView topLeftCell="C1" workbookViewId="0">
      <pane ySplit="2" topLeftCell="A3" activePane="bottomLeft" state="frozen"/>
      <selection pane="bottomLeft" activeCell="K17" sqref="K17"/>
    </sheetView>
  </sheetViews>
  <sheetFormatPr defaultColWidth="8.85546875" defaultRowHeight="12.75"/>
  <cols>
    <col min="3" max="3" width="18" customWidth="1"/>
    <col min="4" max="4" width="27.140625" customWidth="1"/>
    <col min="5" max="5" width="23.28515625" customWidth="1"/>
    <col min="6" max="6" width="22.5703125" customWidth="1"/>
    <col min="7" max="7" width="18.5703125" customWidth="1"/>
    <col min="8" max="8" width="7.5703125" customWidth="1"/>
  </cols>
  <sheetData>
    <row r="1" spans="1:9" ht="47.25">
      <c r="A1" s="74" t="s">
        <v>6</v>
      </c>
      <c r="B1" s="74" t="s">
        <v>7</v>
      </c>
      <c r="C1" s="74" t="s">
        <v>8</v>
      </c>
      <c r="D1" s="11" t="s">
        <v>52</v>
      </c>
      <c r="E1" s="11" t="s">
        <v>53</v>
      </c>
      <c r="F1" s="11" t="s">
        <v>54</v>
      </c>
      <c r="G1" s="11" t="s">
        <v>55</v>
      </c>
    </row>
    <row r="2" spans="1:9" ht="47.25">
      <c r="A2" s="75"/>
      <c r="B2" s="75"/>
      <c r="C2" s="75"/>
      <c r="D2" s="11" t="s">
        <v>56</v>
      </c>
      <c r="E2" s="11" t="s">
        <v>57</v>
      </c>
      <c r="F2" s="11" t="s">
        <v>58</v>
      </c>
      <c r="G2" s="11">
        <v>20</v>
      </c>
    </row>
    <row r="3" spans="1:9" ht="15">
      <c r="A3" s="13">
        <v>1</v>
      </c>
      <c r="B3" s="15"/>
      <c r="C3" s="15"/>
      <c r="D3" s="17">
        <v>10</v>
      </c>
      <c r="E3" s="17">
        <v>3</v>
      </c>
      <c r="F3" s="17">
        <v>5</v>
      </c>
      <c r="G3" s="18">
        <f>SUM(D3:F3)</f>
        <v>18</v>
      </c>
      <c r="I3" s="20" t="s">
        <v>59</v>
      </c>
    </row>
    <row r="4" spans="1:9" ht="15">
      <c r="A4" s="13">
        <v>2</v>
      </c>
      <c r="B4" s="15"/>
      <c r="C4" s="15"/>
      <c r="D4" s="17">
        <v>10</v>
      </c>
      <c r="E4" s="17">
        <v>3</v>
      </c>
      <c r="F4" s="17">
        <v>5</v>
      </c>
      <c r="G4" s="18">
        <f t="shared" ref="G4:G34" si="0">SUM(D4:F4)</f>
        <v>18</v>
      </c>
      <c r="I4" s="20" t="s">
        <v>60</v>
      </c>
    </row>
    <row r="5" spans="1:9" ht="15">
      <c r="A5" s="13">
        <v>3</v>
      </c>
      <c r="B5" s="15"/>
      <c r="C5" s="15"/>
      <c r="D5" s="17">
        <v>10</v>
      </c>
      <c r="E5" s="17">
        <v>3</v>
      </c>
      <c r="F5" s="17">
        <v>5</v>
      </c>
      <c r="G5" s="18">
        <f t="shared" si="0"/>
        <v>18</v>
      </c>
      <c r="I5" s="20" t="s">
        <v>61</v>
      </c>
    </row>
    <row r="6" spans="1:9" ht="15">
      <c r="A6" s="13">
        <v>4</v>
      </c>
      <c r="B6" s="15"/>
      <c r="C6" s="15"/>
      <c r="D6" s="17">
        <v>10</v>
      </c>
      <c r="E6" s="17">
        <v>3</v>
      </c>
      <c r="F6" s="17">
        <v>5</v>
      </c>
      <c r="G6" s="18">
        <f t="shared" si="0"/>
        <v>18</v>
      </c>
    </row>
    <row r="7" spans="1:9" ht="15">
      <c r="A7" s="13">
        <v>5</v>
      </c>
      <c r="B7" s="15"/>
      <c r="C7" s="15"/>
      <c r="D7" s="17">
        <v>10</v>
      </c>
      <c r="E7" s="17">
        <v>3</v>
      </c>
      <c r="F7" s="17">
        <v>5</v>
      </c>
      <c r="G7" s="18">
        <f t="shared" si="0"/>
        <v>18</v>
      </c>
    </row>
    <row r="8" spans="1:9" ht="15">
      <c r="A8" s="13">
        <v>6</v>
      </c>
      <c r="B8" s="15"/>
      <c r="C8" s="15"/>
      <c r="D8" s="17">
        <v>10</v>
      </c>
      <c r="E8" s="17">
        <v>3</v>
      </c>
      <c r="F8" s="17">
        <v>5</v>
      </c>
      <c r="G8" s="18">
        <f t="shared" si="0"/>
        <v>18</v>
      </c>
    </row>
    <row r="9" spans="1:9" ht="15">
      <c r="A9" s="13">
        <v>7</v>
      </c>
      <c r="B9" s="15"/>
      <c r="C9" s="15"/>
      <c r="D9" s="17">
        <v>10</v>
      </c>
      <c r="E9" s="17">
        <v>3</v>
      </c>
      <c r="F9" s="17">
        <v>5</v>
      </c>
      <c r="G9" s="18">
        <f t="shared" si="0"/>
        <v>18</v>
      </c>
    </row>
    <row r="10" spans="1:9" ht="15">
      <c r="A10" s="13">
        <v>8</v>
      </c>
      <c r="B10" s="15"/>
      <c r="C10" s="15"/>
      <c r="D10" s="17">
        <v>10</v>
      </c>
      <c r="E10" s="17">
        <v>3</v>
      </c>
      <c r="F10" s="17">
        <v>5</v>
      </c>
      <c r="G10" s="18">
        <f t="shared" si="0"/>
        <v>18</v>
      </c>
    </row>
    <row r="11" spans="1:9" ht="15">
      <c r="A11" s="13">
        <v>9</v>
      </c>
      <c r="B11" s="15"/>
      <c r="C11" s="15"/>
      <c r="D11" s="17">
        <v>10</v>
      </c>
      <c r="E11" s="17">
        <v>3</v>
      </c>
      <c r="F11" s="17">
        <v>5</v>
      </c>
      <c r="G11" s="18">
        <f t="shared" si="0"/>
        <v>18</v>
      </c>
    </row>
    <row r="12" spans="1:9" ht="15">
      <c r="A12" s="13">
        <v>10</v>
      </c>
      <c r="B12" s="15"/>
      <c r="C12" s="15"/>
      <c r="D12" s="17">
        <v>10</v>
      </c>
      <c r="E12" s="17">
        <v>3</v>
      </c>
      <c r="F12" s="17">
        <v>5</v>
      </c>
      <c r="G12" s="18">
        <f t="shared" si="0"/>
        <v>18</v>
      </c>
    </row>
    <row r="13" spans="1:9" ht="15">
      <c r="A13" s="13">
        <v>11</v>
      </c>
      <c r="B13" s="15"/>
      <c r="C13" s="15"/>
      <c r="D13" s="17">
        <v>10</v>
      </c>
      <c r="E13" s="17">
        <v>3</v>
      </c>
      <c r="F13" s="17">
        <v>5</v>
      </c>
      <c r="G13" s="18">
        <f t="shared" si="0"/>
        <v>18</v>
      </c>
    </row>
    <row r="14" spans="1:9" ht="15">
      <c r="A14" s="13">
        <v>12</v>
      </c>
      <c r="B14" s="15"/>
      <c r="C14" s="15"/>
      <c r="D14" s="17">
        <v>10</v>
      </c>
      <c r="E14" s="17">
        <v>3</v>
      </c>
      <c r="F14" s="17">
        <v>5</v>
      </c>
      <c r="G14" s="18">
        <f t="shared" si="0"/>
        <v>18</v>
      </c>
    </row>
    <row r="15" spans="1:9" ht="15">
      <c r="A15" s="13">
        <v>13</v>
      </c>
      <c r="B15" s="15"/>
      <c r="C15" s="15"/>
      <c r="D15" s="17">
        <v>10</v>
      </c>
      <c r="E15" s="17">
        <v>3</v>
      </c>
      <c r="F15" s="17">
        <v>5</v>
      </c>
      <c r="G15" s="18">
        <f t="shared" si="0"/>
        <v>18</v>
      </c>
    </row>
    <row r="16" spans="1:9" ht="15">
      <c r="A16" s="13">
        <v>14</v>
      </c>
      <c r="B16" s="15"/>
      <c r="C16" s="15"/>
      <c r="D16" s="17">
        <v>10</v>
      </c>
      <c r="E16" s="17">
        <v>3</v>
      </c>
      <c r="F16" s="17">
        <v>5</v>
      </c>
      <c r="G16" s="18">
        <f t="shared" si="0"/>
        <v>18</v>
      </c>
    </row>
    <row r="17" spans="1:7" ht="15">
      <c r="A17" s="13">
        <v>15</v>
      </c>
      <c r="B17" s="15"/>
      <c r="C17" s="15"/>
      <c r="D17" s="17">
        <v>10</v>
      </c>
      <c r="E17" s="17">
        <v>3</v>
      </c>
      <c r="F17" s="17">
        <v>5</v>
      </c>
      <c r="G17" s="18">
        <f t="shared" si="0"/>
        <v>18</v>
      </c>
    </row>
    <row r="18" spans="1:7" ht="15">
      <c r="A18" s="13">
        <v>16</v>
      </c>
      <c r="B18" s="15"/>
      <c r="C18" s="15"/>
      <c r="D18" s="17">
        <v>10</v>
      </c>
      <c r="E18" s="17">
        <v>3</v>
      </c>
      <c r="F18" s="17">
        <v>5</v>
      </c>
      <c r="G18" s="18">
        <f t="shared" si="0"/>
        <v>18</v>
      </c>
    </row>
    <row r="19" spans="1:7" ht="15">
      <c r="A19" s="13">
        <v>17</v>
      </c>
      <c r="B19" s="15"/>
      <c r="C19" s="15"/>
      <c r="D19" s="17">
        <v>10</v>
      </c>
      <c r="E19" s="17">
        <v>3</v>
      </c>
      <c r="F19" s="17">
        <v>5</v>
      </c>
      <c r="G19" s="18">
        <f t="shared" si="0"/>
        <v>18</v>
      </c>
    </row>
    <row r="20" spans="1:7" ht="15">
      <c r="A20" s="13">
        <v>18</v>
      </c>
      <c r="B20" s="15"/>
      <c r="C20" s="15"/>
      <c r="D20" s="17">
        <v>10</v>
      </c>
      <c r="E20" s="17">
        <v>3</v>
      </c>
      <c r="F20" s="17">
        <v>5</v>
      </c>
      <c r="G20" s="18">
        <f t="shared" si="0"/>
        <v>18</v>
      </c>
    </row>
    <row r="21" spans="1:7" ht="15">
      <c r="A21" s="13">
        <v>19</v>
      </c>
      <c r="B21" s="15"/>
      <c r="C21" s="15"/>
      <c r="D21" s="17">
        <v>10</v>
      </c>
      <c r="E21" s="17">
        <v>3</v>
      </c>
      <c r="F21" s="17">
        <v>5</v>
      </c>
      <c r="G21" s="18">
        <f t="shared" si="0"/>
        <v>18</v>
      </c>
    </row>
    <row r="22" spans="1:7" ht="15">
      <c r="A22" s="13">
        <v>20</v>
      </c>
      <c r="B22" s="15"/>
      <c r="C22" s="15"/>
      <c r="D22" s="17">
        <v>10</v>
      </c>
      <c r="E22" s="17">
        <v>3</v>
      </c>
      <c r="F22" s="17">
        <v>5</v>
      </c>
      <c r="G22" s="18">
        <f t="shared" si="0"/>
        <v>18</v>
      </c>
    </row>
    <row r="23" spans="1:7" ht="15">
      <c r="A23" s="13">
        <v>21</v>
      </c>
      <c r="B23" s="15"/>
      <c r="C23" s="15"/>
      <c r="D23" s="17">
        <v>10</v>
      </c>
      <c r="E23" s="17">
        <v>3</v>
      </c>
      <c r="F23" s="17">
        <v>5</v>
      </c>
      <c r="G23" s="18">
        <f t="shared" si="0"/>
        <v>18</v>
      </c>
    </row>
    <row r="24" spans="1:7" ht="15">
      <c r="A24" s="13">
        <v>22</v>
      </c>
      <c r="B24" s="15"/>
      <c r="C24" s="15"/>
      <c r="D24" s="17">
        <v>10</v>
      </c>
      <c r="E24" s="17">
        <v>3</v>
      </c>
      <c r="F24" s="17">
        <v>5</v>
      </c>
      <c r="G24" s="18">
        <f t="shared" si="0"/>
        <v>18</v>
      </c>
    </row>
    <row r="25" spans="1:7" ht="15">
      <c r="A25" s="13">
        <v>23</v>
      </c>
      <c r="B25" s="15"/>
      <c r="C25" s="15"/>
      <c r="D25" s="17">
        <v>10</v>
      </c>
      <c r="E25" s="17">
        <v>3</v>
      </c>
      <c r="F25" s="17">
        <v>5</v>
      </c>
      <c r="G25" s="18">
        <f t="shared" si="0"/>
        <v>18</v>
      </c>
    </row>
    <row r="26" spans="1:7" ht="15">
      <c r="A26" s="13">
        <v>24</v>
      </c>
      <c r="B26" s="15"/>
      <c r="C26" s="15"/>
      <c r="D26" s="17">
        <v>10</v>
      </c>
      <c r="E26" s="17">
        <v>3</v>
      </c>
      <c r="F26" s="17">
        <v>5</v>
      </c>
      <c r="G26" s="18">
        <f t="shared" si="0"/>
        <v>18</v>
      </c>
    </row>
    <row r="27" spans="1:7" ht="15">
      <c r="A27" s="13">
        <v>25</v>
      </c>
      <c r="B27" s="15"/>
      <c r="C27" s="15"/>
      <c r="D27" s="17">
        <v>10</v>
      </c>
      <c r="E27" s="17">
        <v>3</v>
      </c>
      <c r="F27" s="17">
        <v>5</v>
      </c>
      <c r="G27" s="18">
        <f t="shared" si="0"/>
        <v>18</v>
      </c>
    </row>
    <row r="28" spans="1:7" ht="15">
      <c r="A28" s="13">
        <v>26</v>
      </c>
      <c r="B28" s="15"/>
      <c r="C28" s="15"/>
      <c r="D28" s="17">
        <v>10</v>
      </c>
      <c r="E28" s="17">
        <v>3</v>
      </c>
      <c r="F28" s="17">
        <v>5</v>
      </c>
      <c r="G28" s="18">
        <f t="shared" si="0"/>
        <v>18</v>
      </c>
    </row>
    <row r="29" spans="1:7" ht="15">
      <c r="A29" s="13">
        <v>27</v>
      </c>
      <c r="B29" s="15"/>
      <c r="C29" s="15"/>
      <c r="D29" s="17">
        <v>10</v>
      </c>
      <c r="E29" s="17">
        <v>3</v>
      </c>
      <c r="F29" s="17">
        <v>5</v>
      </c>
      <c r="G29" s="18">
        <f t="shared" si="0"/>
        <v>18</v>
      </c>
    </row>
    <row r="30" spans="1:7" ht="15">
      <c r="A30" s="13">
        <v>28</v>
      </c>
      <c r="B30" s="15"/>
      <c r="C30" s="15"/>
      <c r="D30" s="17">
        <v>10</v>
      </c>
      <c r="E30" s="17">
        <v>3</v>
      </c>
      <c r="F30" s="17">
        <v>5</v>
      </c>
      <c r="G30" s="18">
        <f t="shared" si="0"/>
        <v>18</v>
      </c>
    </row>
    <row r="31" spans="1:7" ht="15">
      <c r="A31" s="13">
        <v>29</v>
      </c>
      <c r="B31" s="15"/>
      <c r="C31" s="15"/>
      <c r="D31" s="17">
        <v>10</v>
      </c>
      <c r="E31" s="17">
        <v>3</v>
      </c>
      <c r="F31" s="17">
        <v>5</v>
      </c>
      <c r="G31" s="18">
        <f t="shared" si="0"/>
        <v>18</v>
      </c>
    </row>
    <row r="32" spans="1:7" ht="15">
      <c r="A32" s="13">
        <v>30</v>
      </c>
      <c r="B32" s="15"/>
      <c r="C32" s="15"/>
      <c r="D32" s="17">
        <v>10</v>
      </c>
      <c r="E32" s="17">
        <v>3</v>
      </c>
      <c r="F32" s="17">
        <v>5</v>
      </c>
      <c r="G32" s="18">
        <f t="shared" si="0"/>
        <v>18</v>
      </c>
    </row>
    <row r="33" spans="1:7" ht="15">
      <c r="A33" s="13">
        <v>31</v>
      </c>
      <c r="B33" s="15"/>
      <c r="C33" s="15"/>
      <c r="D33" s="17">
        <v>10</v>
      </c>
      <c r="E33" s="17">
        <v>3</v>
      </c>
      <c r="F33" s="17">
        <v>5</v>
      </c>
      <c r="G33" s="18">
        <f t="shared" si="0"/>
        <v>18</v>
      </c>
    </row>
    <row r="34" spans="1:7" ht="15">
      <c r="A34" s="13">
        <v>32</v>
      </c>
      <c r="B34" s="15"/>
      <c r="C34" s="15"/>
      <c r="D34" s="17">
        <v>10</v>
      </c>
      <c r="E34" s="17">
        <v>3</v>
      </c>
      <c r="F34" s="17">
        <v>5</v>
      </c>
      <c r="G34" s="18">
        <f t="shared" si="0"/>
        <v>18</v>
      </c>
    </row>
    <row r="36" spans="1:7" ht="15">
      <c r="C36" s="27"/>
    </row>
    <row r="37" spans="1:7" ht="15">
      <c r="C37" s="27"/>
    </row>
  </sheetData>
  <mergeCells count="3">
    <mergeCell ref="A1:A2"/>
    <mergeCell ref="B1:B2"/>
    <mergeCell ref="C1:C2"/>
  </mergeCells>
  <pageMargins left="0.7" right="0.7" top="0.75" bottom="0.75" header="0.3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4"/>
  <sheetViews>
    <sheetView workbookViewId="0">
      <pane ySplit="2" topLeftCell="A3" activePane="bottomLeft" state="frozen"/>
      <selection pane="bottomLeft" activeCell="K14" sqref="K14"/>
    </sheetView>
  </sheetViews>
  <sheetFormatPr defaultColWidth="8.85546875" defaultRowHeight="12.75"/>
  <cols>
    <col min="3" max="3" width="20" customWidth="1"/>
    <col min="4" max="4" width="9" customWidth="1"/>
    <col min="5" max="5" width="20.5703125" style="21" customWidth="1"/>
    <col min="6" max="6" width="29.5703125" style="21" customWidth="1"/>
    <col min="7" max="7" width="18.5703125" style="21" customWidth="1"/>
    <col min="8" max="8" width="18" style="21" customWidth="1"/>
  </cols>
  <sheetData>
    <row r="1" spans="1:10" ht="47.25">
      <c r="A1" s="78" t="s">
        <v>6</v>
      </c>
      <c r="B1" s="78" t="s">
        <v>7</v>
      </c>
      <c r="C1" s="78" t="s">
        <v>8</v>
      </c>
      <c r="D1" s="74" t="s">
        <v>62</v>
      </c>
      <c r="E1" s="11" t="s">
        <v>63</v>
      </c>
      <c r="F1" s="11" t="s">
        <v>64</v>
      </c>
      <c r="G1" s="11" t="s">
        <v>65</v>
      </c>
      <c r="H1" s="11" t="s">
        <v>66</v>
      </c>
    </row>
    <row r="2" spans="1:10" ht="63">
      <c r="A2" s="78"/>
      <c r="B2" s="78"/>
      <c r="C2" s="78"/>
      <c r="D2" s="75"/>
      <c r="E2" s="11" t="s">
        <v>67</v>
      </c>
      <c r="F2" s="11" t="s">
        <v>68</v>
      </c>
      <c r="G2" s="11" t="s">
        <v>69</v>
      </c>
      <c r="H2" s="11">
        <v>25</v>
      </c>
    </row>
    <row r="3" spans="1:10" ht="15">
      <c r="A3" s="22">
        <v>1</v>
      </c>
      <c r="B3" s="23"/>
      <c r="C3" s="15"/>
      <c r="D3" s="16"/>
      <c r="E3" s="24">
        <v>10</v>
      </c>
      <c r="F3" s="24">
        <v>5</v>
      </c>
      <c r="G3" s="24">
        <v>4</v>
      </c>
      <c r="H3" s="25">
        <f>SUM(E3:G3)</f>
        <v>19</v>
      </c>
      <c r="J3" s="26" t="s">
        <v>70</v>
      </c>
    </row>
    <row r="4" spans="1:10" ht="15">
      <c r="A4" s="13">
        <v>2</v>
      </c>
      <c r="B4" s="23"/>
      <c r="C4" s="15"/>
      <c r="D4" s="16"/>
      <c r="E4" s="24">
        <v>10</v>
      </c>
      <c r="F4" s="24">
        <v>5</v>
      </c>
      <c r="G4" s="24">
        <v>4</v>
      </c>
      <c r="H4" s="25">
        <f t="shared" ref="H4:H34" si="0">SUM(E4:G4)</f>
        <v>19</v>
      </c>
      <c r="J4" s="20" t="s">
        <v>71</v>
      </c>
    </row>
    <row r="5" spans="1:10" ht="15">
      <c r="A5" s="22">
        <v>3</v>
      </c>
      <c r="B5" s="23"/>
      <c r="C5" s="15"/>
      <c r="D5" s="16"/>
      <c r="E5" s="24">
        <v>10</v>
      </c>
      <c r="F5" s="24">
        <v>5</v>
      </c>
      <c r="G5" s="24">
        <v>4</v>
      </c>
      <c r="H5" s="25">
        <f t="shared" si="0"/>
        <v>19</v>
      </c>
      <c r="J5" s="20" t="s">
        <v>72</v>
      </c>
    </row>
    <row r="6" spans="1:10" ht="15">
      <c r="A6" s="13">
        <v>4</v>
      </c>
      <c r="B6" s="23"/>
      <c r="C6" s="15"/>
      <c r="D6" s="16"/>
      <c r="E6" s="24">
        <v>10</v>
      </c>
      <c r="F6" s="24">
        <v>5</v>
      </c>
      <c r="G6" s="24">
        <v>4</v>
      </c>
      <c r="H6" s="25">
        <f t="shared" si="0"/>
        <v>19</v>
      </c>
      <c r="J6" s="20"/>
    </row>
    <row r="7" spans="1:10" ht="15">
      <c r="A7" s="22">
        <v>5</v>
      </c>
      <c r="B7" s="23"/>
      <c r="C7" s="15"/>
      <c r="D7" s="16"/>
      <c r="E7" s="24">
        <v>10</v>
      </c>
      <c r="F7" s="24">
        <v>5</v>
      </c>
      <c r="G7" s="24">
        <v>4</v>
      </c>
      <c r="H7" s="25">
        <f t="shared" si="0"/>
        <v>19</v>
      </c>
    </row>
    <row r="8" spans="1:10" ht="15">
      <c r="A8" s="13">
        <v>6</v>
      </c>
      <c r="B8" s="23"/>
      <c r="C8" s="15"/>
      <c r="D8" s="16"/>
      <c r="E8" s="24">
        <v>10</v>
      </c>
      <c r="F8" s="24">
        <v>5</v>
      </c>
      <c r="G8" s="24">
        <v>4</v>
      </c>
      <c r="H8" s="25">
        <f t="shared" si="0"/>
        <v>19</v>
      </c>
    </row>
    <row r="9" spans="1:10" ht="15">
      <c r="A9" s="22">
        <v>7</v>
      </c>
      <c r="B9" s="23"/>
      <c r="C9" s="15"/>
      <c r="D9" s="16"/>
      <c r="E9" s="24">
        <v>10</v>
      </c>
      <c r="F9" s="24">
        <v>5</v>
      </c>
      <c r="G9" s="24">
        <v>4</v>
      </c>
      <c r="H9" s="25">
        <f t="shared" si="0"/>
        <v>19</v>
      </c>
    </row>
    <row r="10" spans="1:10" ht="15">
      <c r="A10" s="13">
        <v>8</v>
      </c>
      <c r="B10" s="23"/>
      <c r="C10" s="15"/>
      <c r="D10" s="16"/>
      <c r="E10" s="24">
        <v>10</v>
      </c>
      <c r="F10" s="24">
        <v>5</v>
      </c>
      <c r="G10" s="24">
        <v>4</v>
      </c>
      <c r="H10" s="25">
        <f t="shared" si="0"/>
        <v>19</v>
      </c>
    </row>
    <row r="11" spans="1:10" ht="15">
      <c r="A11" s="22">
        <v>9</v>
      </c>
      <c r="B11" s="23"/>
      <c r="C11" s="15"/>
      <c r="D11" s="16"/>
      <c r="E11" s="24">
        <v>10</v>
      </c>
      <c r="F11" s="24">
        <v>5</v>
      </c>
      <c r="G11" s="24">
        <v>4</v>
      </c>
      <c r="H11" s="25">
        <f t="shared" si="0"/>
        <v>19</v>
      </c>
    </row>
    <row r="12" spans="1:10" ht="15">
      <c r="A12" s="13">
        <v>10</v>
      </c>
      <c r="B12" s="23"/>
      <c r="C12" s="15"/>
      <c r="D12" s="16"/>
      <c r="E12" s="24">
        <v>10</v>
      </c>
      <c r="F12" s="24">
        <v>5</v>
      </c>
      <c r="G12" s="24">
        <v>4</v>
      </c>
      <c r="H12" s="25">
        <f t="shared" si="0"/>
        <v>19</v>
      </c>
    </row>
    <row r="13" spans="1:10" ht="15">
      <c r="A13" s="22">
        <v>11</v>
      </c>
      <c r="B13" s="23"/>
      <c r="C13" s="15"/>
      <c r="D13" s="16"/>
      <c r="E13" s="24">
        <v>10</v>
      </c>
      <c r="F13" s="24">
        <v>5</v>
      </c>
      <c r="G13" s="24">
        <v>4</v>
      </c>
      <c r="H13" s="25">
        <f t="shared" si="0"/>
        <v>19</v>
      </c>
    </row>
    <row r="14" spans="1:10" ht="15">
      <c r="A14" s="13">
        <v>12</v>
      </c>
      <c r="B14" s="23"/>
      <c r="C14" s="15"/>
      <c r="D14" s="16"/>
      <c r="E14" s="24">
        <v>10</v>
      </c>
      <c r="F14" s="24">
        <v>5</v>
      </c>
      <c r="G14" s="24">
        <v>4</v>
      </c>
      <c r="H14" s="25">
        <f t="shared" si="0"/>
        <v>19</v>
      </c>
    </row>
    <row r="15" spans="1:10" ht="15">
      <c r="A15" s="22">
        <v>13</v>
      </c>
      <c r="B15" s="23"/>
      <c r="C15" s="15"/>
      <c r="D15" s="16"/>
      <c r="E15" s="24">
        <v>10</v>
      </c>
      <c r="F15" s="24">
        <v>5</v>
      </c>
      <c r="G15" s="24">
        <v>4</v>
      </c>
      <c r="H15" s="25">
        <f t="shared" si="0"/>
        <v>19</v>
      </c>
    </row>
    <row r="16" spans="1:10" ht="15">
      <c r="A16" s="13">
        <v>14</v>
      </c>
      <c r="B16" s="23"/>
      <c r="C16" s="15"/>
      <c r="D16" s="16"/>
      <c r="E16" s="24">
        <v>10</v>
      </c>
      <c r="F16" s="24">
        <v>5</v>
      </c>
      <c r="G16" s="24">
        <v>4</v>
      </c>
      <c r="H16" s="25">
        <f t="shared" si="0"/>
        <v>19</v>
      </c>
    </row>
    <row r="17" spans="1:8" ht="15">
      <c r="A17" s="22">
        <v>15</v>
      </c>
      <c r="B17" s="23"/>
      <c r="C17" s="15"/>
      <c r="D17" s="16"/>
      <c r="E17" s="24">
        <v>10</v>
      </c>
      <c r="F17" s="24">
        <v>5</v>
      </c>
      <c r="G17" s="24">
        <v>4</v>
      </c>
      <c r="H17" s="25">
        <f t="shared" si="0"/>
        <v>19</v>
      </c>
    </row>
    <row r="18" spans="1:8" ht="15">
      <c r="A18" s="13">
        <v>16</v>
      </c>
      <c r="B18" s="23"/>
      <c r="C18" s="15"/>
      <c r="D18" s="16"/>
      <c r="E18" s="24">
        <v>10</v>
      </c>
      <c r="F18" s="24">
        <v>5</v>
      </c>
      <c r="G18" s="24">
        <v>4</v>
      </c>
      <c r="H18" s="25">
        <f t="shared" si="0"/>
        <v>19</v>
      </c>
    </row>
    <row r="19" spans="1:8" ht="15">
      <c r="A19" s="22">
        <v>17</v>
      </c>
      <c r="B19" s="23"/>
      <c r="C19" s="15"/>
      <c r="D19" s="16"/>
      <c r="E19" s="24">
        <v>10</v>
      </c>
      <c r="F19" s="24">
        <v>5</v>
      </c>
      <c r="G19" s="24">
        <v>4</v>
      </c>
      <c r="H19" s="25">
        <f t="shared" si="0"/>
        <v>19</v>
      </c>
    </row>
    <row r="20" spans="1:8" ht="15">
      <c r="A20" s="13">
        <v>18</v>
      </c>
      <c r="B20" s="23"/>
      <c r="C20" s="15"/>
      <c r="D20" s="16"/>
      <c r="E20" s="24">
        <v>10</v>
      </c>
      <c r="F20" s="24">
        <v>5</v>
      </c>
      <c r="G20" s="24">
        <v>4</v>
      </c>
      <c r="H20" s="25">
        <f t="shared" si="0"/>
        <v>19</v>
      </c>
    </row>
    <row r="21" spans="1:8" ht="15">
      <c r="A21" s="22">
        <v>19</v>
      </c>
      <c r="B21" s="23"/>
      <c r="C21" s="15"/>
      <c r="D21" s="16"/>
      <c r="E21" s="24">
        <v>10</v>
      </c>
      <c r="F21" s="24">
        <v>5</v>
      </c>
      <c r="G21" s="24">
        <v>4</v>
      </c>
      <c r="H21" s="25">
        <f t="shared" si="0"/>
        <v>19</v>
      </c>
    </row>
    <row r="22" spans="1:8" ht="15">
      <c r="A22" s="13">
        <v>20</v>
      </c>
      <c r="B22" s="23"/>
      <c r="C22" s="15"/>
      <c r="D22" s="16"/>
      <c r="E22" s="24">
        <v>10</v>
      </c>
      <c r="F22" s="24">
        <v>5</v>
      </c>
      <c r="G22" s="24">
        <v>4</v>
      </c>
      <c r="H22" s="25">
        <f t="shared" si="0"/>
        <v>19</v>
      </c>
    </row>
    <row r="23" spans="1:8" ht="15">
      <c r="A23" s="22">
        <v>21</v>
      </c>
      <c r="B23" s="23"/>
      <c r="C23" s="15"/>
      <c r="D23" s="16"/>
      <c r="E23" s="24">
        <v>10</v>
      </c>
      <c r="F23" s="24">
        <v>5</v>
      </c>
      <c r="G23" s="24">
        <v>4</v>
      </c>
      <c r="H23" s="25">
        <f t="shared" si="0"/>
        <v>19</v>
      </c>
    </row>
    <row r="24" spans="1:8" ht="15">
      <c r="A24" s="13">
        <v>22</v>
      </c>
      <c r="B24" s="23"/>
      <c r="C24" s="15"/>
      <c r="D24" s="16"/>
      <c r="E24" s="24">
        <v>10</v>
      </c>
      <c r="F24" s="24">
        <v>5</v>
      </c>
      <c r="G24" s="24">
        <v>4</v>
      </c>
      <c r="H24" s="25">
        <f t="shared" si="0"/>
        <v>19</v>
      </c>
    </row>
    <row r="25" spans="1:8" ht="15">
      <c r="A25" s="22">
        <v>23</v>
      </c>
      <c r="B25" s="23"/>
      <c r="C25" s="15"/>
      <c r="D25" s="16"/>
      <c r="E25" s="24">
        <v>10</v>
      </c>
      <c r="F25" s="24">
        <v>5</v>
      </c>
      <c r="G25" s="24">
        <v>4</v>
      </c>
      <c r="H25" s="25">
        <f t="shared" si="0"/>
        <v>19</v>
      </c>
    </row>
    <row r="26" spans="1:8" ht="15">
      <c r="A26" s="13">
        <v>24</v>
      </c>
      <c r="B26" s="23"/>
      <c r="C26" s="15"/>
      <c r="D26" s="16"/>
      <c r="E26" s="24">
        <v>10</v>
      </c>
      <c r="F26" s="24">
        <v>5</v>
      </c>
      <c r="G26" s="24">
        <v>4</v>
      </c>
      <c r="H26" s="25">
        <f t="shared" si="0"/>
        <v>19</v>
      </c>
    </row>
    <row r="27" spans="1:8" ht="15">
      <c r="A27" s="22">
        <v>25</v>
      </c>
      <c r="B27" s="23"/>
      <c r="C27" s="15"/>
      <c r="D27" s="16"/>
      <c r="E27" s="24">
        <v>10</v>
      </c>
      <c r="F27" s="24">
        <v>5</v>
      </c>
      <c r="G27" s="24">
        <v>4</v>
      </c>
      <c r="H27" s="25">
        <f t="shared" si="0"/>
        <v>19</v>
      </c>
    </row>
    <row r="28" spans="1:8" ht="15">
      <c r="A28" s="13">
        <v>26</v>
      </c>
      <c r="B28" s="23"/>
      <c r="C28" s="15"/>
      <c r="D28" s="16"/>
      <c r="E28" s="24">
        <v>10</v>
      </c>
      <c r="F28" s="24">
        <v>5</v>
      </c>
      <c r="G28" s="24">
        <v>4</v>
      </c>
      <c r="H28" s="25">
        <f t="shared" si="0"/>
        <v>19</v>
      </c>
    </row>
    <row r="29" spans="1:8" ht="15">
      <c r="A29" s="22">
        <v>27</v>
      </c>
      <c r="B29" s="23"/>
      <c r="C29" s="15"/>
      <c r="D29" s="16"/>
      <c r="E29" s="24">
        <v>10</v>
      </c>
      <c r="F29" s="24">
        <v>5</v>
      </c>
      <c r="G29" s="24">
        <v>4</v>
      </c>
      <c r="H29" s="25">
        <f t="shared" si="0"/>
        <v>19</v>
      </c>
    </row>
    <row r="30" spans="1:8" ht="15">
      <c r="A30" s="13">
        <v>28</v>
      </c>
      <c r="B30" s="23"/>
      <c r="C30" s="15"/>
      <c r="D30" s="16"/>
      <c r="E30" s="24">
        <v>10</v>
      </c>
      <c r="F30" s="24">
        <v>5</v>
      </c>
      <c r="G30" s="24">
        <v>4</v>
      </c>
      <c r="H30" s="25">
        <f t="shared" si="0"/>
        <v>19</v>
      </c>
    </row>
    <row r="31" spans="1:8" ht="15">
      <c r="A31" s="22">
        <v>29</v>
      </c>
      <c r="B31" s="23"/>
      <c r="C31" s="15"/>
      <c r="D31" s="16"/>
      <c r="E31" s="24">
        <v>10</v>
      </c>
      <c r="F31" s="24">
        <v>5</v>
      </c>
      <c r="G31" s="24">
        <v>4</v>
      </c>
      <c r="H31" s="25">
        <f t="shared" si="0"/>
        <v>19</v>
      </c>
    </row>
    <row r="32" spans="1:8" ht="15">
      <c r="A32" s="13">
        <v>30</v>
      </c>
      <c r="B32" s="23"/>
      <c r="C32" s="15"/>
      <c r="D32" s="16"/>
      <c r="E32" s="24">
        <v>10</v>
      </c>
      <c r="F32" s="24">
        <v>5</v>
      </c>
      <c r="G32" s="24">
        <v>4</v>
      </c>
      <c r="H32" s="25">
        <f t="shared" si="0"/>
        <v>19</v>
      </c>
    </row>
    <row r="33" spans="1:8" ht="15">
      <c r="A33" s="22">
        <v>31</v>
      </c>
      <c r="B33" s="23"/>
      <c r="C33" s="15"/>
      <c r="D33" s="16"/>
      <c r="E33" s="24">
        <v>10</v>
      </c>
      <c r="F33" s="24">
        <v>5</v>
      </c>
      <c r="G33" s="24">
        <v>4</v>
      </c>
      <c r="H33" s="25">
        <f t="shared" si="0"/>
        <v>19</v>
      </c>
    </row>
    <row r="34" spans="1:8" ht="15">
      <c r="A34" s="13">
        <v>32</v>
      </c>
      <c r="B34" s="23"/>
      <c r="C34" s="15"/>
      <c r="D34" s="16"/>
      <c r="E34" s="24">
        <v>10</v>
      </c>
      <c r="F34" s="24">
        <v>5</v>
      </c>
      <c r="G34" s="24">
        <v>4</v>
      </c>
      <c r="H34" s="25">
        <f t="shared" si="0"/>
        <v>19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4"/>
  <sheetViews>
    <sheetView workbookViewId="0">
      <pane ySplit="2" topLeftCell="A3" activePane="bottomLeft" state="frozen"/>
      <selection pane="bottomLeft" activeCell="F5" sqref="F5"/>
    </sheetView>
  </sheetViews>
  <sheetFormatPr defaultColWidth="8.85546875" defaultRowHeight="12.75"/>
  <cols>
    <col min="3" max="3" width="25" customWidth="1"/>
    <col min="4" max="4" width="13.28515625" customWidth="1"/>
    <col min="5" max="5" width="19.5703125" customWidth="1"/>
    <col min="6" max="6" width="29.85546875" customWidth="1"/>
    <col min="7" max="7" width="19.28515625" customWidth="1"/>
  </cols>
  <sheetData>
    <row r="1" spans="1:9" ht="31.5">
      <c r="A1" s="76" t="s">
        <v>6</v>
      </c>
      <c r="B1" s="76" t="s">
        <v>7</v>
      </c>
      <c r="C1" s="76" t="s">
        <v>8</v>
      </c>
      <c r="D1" s="76" t="s">
        <v>28</v>
      </c>
      <c r="E1" s="11" t="s">
        <v>73</v>
      </c>
      <c r="F1" s="11" t="s">
        <v>74</v>
      </c>
      <c r="G1" s="11" t="s">
        <v>75</v>
      </c>
    </row>
    <row r="2" spans="1:9" ht="110.25">
      <c r="A2" s="77"/>
      <c r="B2" s="77"/>
      <c r="C2" s="77"/>
      <c r="D2" s="77"/>
      <c r="E2" s="11" t="s">
        <v>76</v>
      </c>
      <c r="F2" s="11" t="s">
        <v>77</v>
      </c>
      <c r="G2" s="11">
        <v>10</v>
      </c>
    </row>
    <row r="3" spans="1:9" ht="15">
      <c r="A3" s="13">
        <v>1</v>
      </c>
      <c r="B3" s="14"/>
      <c r="C3" s="15"/>
      <c r="D3" s="16"/>
      <c r="E3" s="17">
        <v>0</v>
      </c>
      <c r="F3" s="18"/>
      <c r="G3" s="19">
        <f>IF(OR(F3="x",D3&gt;=9),10,E3)</f>
        <v>0</v>
      </c>
      <c r="I3" s="20" t="s">
        <v>78</v>
      </c>
    </row>
    <row r="4" spans="1:9" ht="15">
      <c r="A4" s="13">
        <v>2</v>
      </c>
      <c r="B4" s="14"/>
      <c r="C4" s="15"/>
      <c r="D4" s="16"/>
      <c r="E4" s="17">
        <v>0</v>
      </c>
      <c r="F4" s="18"/>
      <c r="G4" s="19">
        <f t="shared" ref="G4:G34" si="0">IF(OR(F4="x",D4&gt;=9),10,E4)</f>
        <v>0</v>
      </c>
      <c r="I4" s="20" t="s">
        <v>79</v>
      </c>
    </row>
    <row r="5" spans="1:9" ht="15">
      <c r="A5" s="13">
        <v>3</v>
      </c>
      <c r="B5" s="14"/>
      <c r="C5" s="15"/>
      <c r="D5" s="16"/>
      <c r="E5" s="17">
        <v>0</v>
      </c>
      <c r="F5" s="18"/>
      <c r="G5" s="19">
        <f t="shared" si="0"/>
        <v>0</v>
      </c>
      <c r="I5" s="20" t="s">
        <v>80</v>
      </c>
    </row>
    <row r="6" spans="1:9" ht="15">
      <c r="A6" s="13">
        <v>4</v>
      </c>
      <c r="B6" s="14"/>
      <c r="C6" s="15"/>
      <c r="D6" s="16"/>
      <c r="E6" s="17">
        <v>0</v>
      </c>
      <c r="F6" s="18"/>
      <c r="G6" s="19">
        <f t="shared" si="0"/>
        <v>0</v>
      </c>
    </row>
    <row r="7" spans="1:9" ht="15">
      <c r="A7" s="13">
        <v>5</v>
      </c>
      <c r="B7" s="14"/>
      <c r="C7" s="15"/>
      <c r="D7" s="16"/>
      <c r="E7" s="17">
        <v>0</v>
      </c>
      <c r="F7" s="18"/>
      <c r="G7" s="19">
        <f t="shared" si="0"/>
        <v>0</v>
      </c>
    </row>
    <row r="8" spans="1:9" ht="15">
      <c r="A8" s="13">
        <v>6</v>
      </c>
      <c r="B8" s="14"/>
      <c r="C8" s="15"/>
      <c r="D8" s="16"/>
      <c r="E8" s="17">
        <v>0</v>
      </c>
      <c r="F8" s="18"/>
      <c r="G8" s="19">
        <f t="shared" si="0"/>
        <v>0</v>
      </c>
    </row>
    <row r="9" spans="1:9" ht="15">
      <c r="A9" s="13">
        <v>7</v>
      </c>
      <c r="B9" s="14"/>
      <c r="C9" s="15"/>
      <c r="D9" s="16"/>
      <c r="E9" s="17">
        <v>0</v>
      </c>
      <c r="F9" s="18"/>
      <c r="G9" s="19">
        <f t="shared" si="0"/>
        <v>0</v>
      </c>
    </row>
    <row r="10" spans="1:9" ht="15">
      <c r="A10" s="13">
        <v>8</v>
      </c>
      <c r="B10" s="14"/>
      <c r="C10" s="15"/>
      <c r="D10" s="16"/>
      <c r="E10" s="17">
        <v>0</v>
      </c>
      <c r="F10" s="18"/>
      <c r="G10" s="19">
        <f t="shared" si="0"/>
        <v>0</v>
      </c>
    </row>
    <row r="11" spans="1:9" ht="15">
      <c r="A11" s="13">
        <v>9</v>
      </c>
      <c r="B11" s="14"/>
      <c r="C11" s="15"/>
      <c r="D11" s="16"/>
      <c r="E11" s="17">
        <v>0</v>
      </c>
      <c r="F11" s="18"/>
      <c r="G11" s="19">
        <f t="shared" si="0"/>
        <v>0</v>
      </c>
    </row>
    <row r="12" spans="1:9" ht="15">
      <c r="A12" s="13">
        <v>10</v>
      </c>
      <c r="B12" s="14"/>
      <c r="C12" s="15"/>
      <c r="D12" s="16"/>
      <c r="E12" s="17">
        <v>8</v>
      </c>
      <c r="F12" s="18"/>
      <c r="G12" s="19">
        <f t="shared" si="0"/>
        <v>8</v>
      </c>
    </row>
    <row r="13" spans="1:9" ht="15">
      <c r="A13" s="13">
        <v>11</v>
      </c>
      <c r="B13" s="14"/>
      <c r="C13" s="15"/>
      <c r="D13" s="16"/>
      <c r="E13" s="17">
        <v>0</v>
      </c>
      <c r="F13" s="18"/>
      <c r="G13" s="19">
        <f t="shared" si="0"/>
        <v>0</v>
      </c>
    </row>
    <row r="14" spans="1:9" ht="15">
      <c r="A14" s="13">
        <v>12</v>
      </c>
      <c r="B14" s="14"/>
      <c r="C14" s="15"/>
      <c r="D14" s="16"/>
      <c r="E14" s="17">
        <v>0</v>
      </c>
      <c r="F14" s="18"/>
      <c r="G14" s="19">
        <f t="shared" si="0"/>
        <v>0</v>
      </c>
    </row>
    <row r="15" spans="1:9" ht="15">
      <c r="A15" s="13">
        <v>13</v>
      </c>
      <c r="B15" s="14"/>
      <c r="C15" s="15"/>
      <c r="D15" s="16"/>
      <c r="E15" s="17">
        <v>0</v>
      </c>
      <c r="F15" s="18"/>
      <c r="G15" s="19">
        <f t="shared" si="0"/>
        <v>0</v>
      </c>
    </row>
    <row r="16" spans="1:9" ht="15">
      <c r="A16" s="13">
        <v>14</v>
      </c>
      <c r="B16" s="14"/>
      <c r="C16" s="15"/>
      <c r="D16" s="16"/>
      <c r="E16" s="17">
        <v>0</v>
      </c>
      <c r="F16" s="18"/>
      <c r="G16" s="19">
        <f t="shared" si="0"/>
        <v>0</v>
      </c>
    </row>
    <row r="17" spans="1:7" ht="15">
      <c r="A17" s="13">
        <v>15</v>
      </c>
      <c r="B17" s="14"/>
      <c r="C17" s="15"/>
      <c r="D17" s="16"/>
      <c r="E17" s="17">
        <v>0</v>
      </c>
      <c r="F17" s="18"/>
      <c r="G17" s="19">
        <f t="shared" si="0"/>
        <v>0</v>
      </c>
    </row>
    <row r="18" spans="1:7" ht="15">
      <c r="A18" s="13">
        <v>16</v>
      </c>
      <c r="B18" s="14"/>
      <c r="C18" s="15"/>
      <c r="D18" s="16"/>
      <c r="E18" s="17">
        <v>0</v>
      </c>
      <c r="F18" s="18"/>
      <c r="G18" s="19">
        <f t="shared" si="0"/>
        <v>0</v>
      </c>
    </row>
    <row r="19" spans="1:7" ht="15">
      <c r="A19" s="13">
        <v>17</v>
      </c>
      <c r="B19" s="14"/>
      <c r="C19" s="15"/>
      <c r="D19" s="16"/>
      <c r="E19" s="17">
        <v>0</v>
      </c>
      <c r="F19" s="18" t="s">
        <v>81</v>
      </c>
      <c r="G19" s="19">
        <f t="shared" si="0"/>
        <v>10</v>
      </c>
    </row>
    <row r="20" spans="1:7" ht="15">
      <c r="A20" s="13">
        <v>18</v>
      </c>
      <c r="B20" s="14"/>
      <c r="C20" s="15"/>
      <c r="D20" s="16"/>
      <c r="E20" s="17">
        <v>0</v>
      </c>
      <c r="F20" s="18"/>
      <c r="G20" s="19">
        <f t="shared" si="0"/>
        <v>0</v>
      </c>
    </row>
    <row r="21" spans="1:7" ht="15">
      <c r="A21" s="13">
        <v>19</v>
      </c>
      <c r="B21" s="14"/>
      <c r="C21" s="15"/>
      <c r="D21" s="16"/>
      <c r="E21" s="17">
        <v>0</v>
      </c>
      <c r="F21" s="18"/>
      <c r="G21" s="19">
        <f t="shared" si="0"/>
        <v>0</v>
      </c>
    </row>
    <row r="22" spans="1:7" ht="15">
      <c r="A22" s="13">
        <v>20</v>
      </c>
      <c r="B22" s="14"/>
      <c r="C22" s="15"/>
      <c r="D22" s="16"/>
      <c r="E22" s="17">
        <v>0</v>
      </c>
      <c r="F22" s="18"/>
      <c r="G22" s="19">
        <f t="shared" si="0"/>
        <v>0</v>
      </c>
    </row>
    <row r="23" spans="1:7" ht="15">
      <c r="A23" s="13">
        <v>21</v>
      </c>
      <c r="B23" s="14"/>
      <c r="C23" s="15"/>
      <c r="D23" s="16"/>
      <c r="E23" s="17">
        <v>0</v>
      </c>
      <c r="F23" s="18"/>
      <c r="G23" s="19">
        <f t="shared" si="0"/>
        <v>0</v>
      </c>
    </row>
    <row r="24" spans="1:7" ht="15">
      <c r="A24" s="13">
        <v>22</v>
      </c>
      <c r="B24" s="14"/>
      <c r="C24" s="15"/>
      <c r="D24" s="16"/>
      <c r="E24" s="17">
        <v>0</v>
      </c>
      <c r="F24" s="18"/>
      <c r="G24" s="19">
        <f t="shared" si="0"/>
        <v>0</v>
      </c>
    </row>
    <row r="25" spans="1:7" ht="15">
      <c r="A25" s="13">
        <v>23</v>
      </c>
      <c r="B25" s="14"/>
      <c r="C25" s="15"/>
      <c r="D25" s="16"/>
      <c r="E25" s="17">
        <v>10</v>
      </c>
      <c r="F25" s="18"/>
      <c r="G25" s="19">
        <f t="shared" si="0"/>
        <v>10</v>
      </c>
    </row>
    <row r="26" spans="1:7" ht="15">
      <c r="A26" s="13">
        <v>24</v>
      </c>
      <c r="B26" s="14"/>
      <c r="C26" s="15"/>
      <c r="D26" s="16"/>
      <c r="E26" s="17">
        <v>0</v>
      </c>
      <c r="F26" s="18"/>
      <c r="G26" s="19">
        <f t="shared" si="0"/>
        <v>0</v>
      </c>
    </row>
    <row r="27" spans="1:7" ht="15">
      <c r="A27" s="13">
        <v>25</v>
      </c>
      <c r="B27" s="14"/>
      <c r="C27" s="15"/>
      <c r="D27" s="16"/>
      <c r="E27" s="17">
        <v>0</v>
      </c>
      <c r="F27" s="18"/>
      <c r="G27" s="19">
        <f t="shared" si="0"/>
        <v>0</v>
      </c>
    </row>
    <row r="28" spans="1:7" ht="15">
      <c r="A28" s="13">
        <v>26</v>
      </c>
      <c r="B28" s="14"/>
      <c r="C28" s="15"/>
      <c r="D28" s="16"/>
      <c r="E28" s="17">
        <v>0</v>
      </c>
      <c r="F28" s="18"/>
      <c r="G28" s="19">
        <f t="shared" si="0"/>
        <v>0</v>
      </c>
    </row>
    <row r="29" spans="1:7" ht="15">
      <c r="A29" s="13">
        <v>27</v>
      </c>
      <c r="B29" s="14"/>
      <c r="C29" s="15"/>
      <c r="D29" s="16"/>
      <c r="E29" s="17">
        <v>0</v>
      </c>
      <c r="F29" s="18"/>
      <c r="G29" s="19">
        <f t="shared" si="0"/>
        <v>0</v>
      </c>
    </row>
    <row r="30" spans="1:7" ht="15">
      <c r="A30" s="13">
        <v>28</v>
      </c>
      <c r="B30" s="14"/>
      <c r="C30" s="15"/>
      <c r="D30" s="16"/>
      <c r="E30" s="17">
        <v>7</v>
      </c>
      <c r="F30" s="18"/>
      <c r="G30" s="19">
        <f t="shared" si="0"/>
        <v>7</v>
      </c>
    </row>
    <row r="31" spans="1:7" ht="15">
      <c r="A31" s="13">
        <v>29</v>
      </c>
      <c r="B31" s="14"/>
      <c r="C31" s="15"/>
      <c r="D31" s="16"/>
      <c r="E31" s="17">
        <v>0</v>
      </c>
      <c r="F31" s="18"/>
      <c r="G31" s="19">
        <f t="shared" si="0"/>
        <v>0</v>
      </c>
    </row>
    <row r="32" spans="1:7" ht="15">
      <c r="A32" s="13">
        <v>30</v>
      </c>
      <c r="B32" s="14"/>
      <c r="C32" s="15"/>
      <c r="D32" s="16"/>
      <c r="E32" s="17">
        <v>0</v>
      </c>
      <c r="F32" s="18"/>
      <c r="G32" s="19">
        <f t="shared" si="0"/>
        <v>0</v>
      </c>
    </row>
    <row r="33" spans="1:7" ht="15">
      <c r="A33" s="13">
        <v>31</v>
      </c>
      <c r="B33" s="14"/>
      <c r="C33" s="15"/>
      <c r="D33" s="16"/>
      <c r="E33" s="17">
        <v>0</v>
      </c>
      <c r="F33" s="18"/>
      <c r="G33" s="19">
        <f t="shared" si="0"/>
        <v>0</v>
      </c>
    </row>
    <row r="34" spans="1:7" ht="15">
      <c r="A34" s="13">
        <v>32</v>
      </c>
      <c r="B34" s="14"/>
      <c r="C34" s="15"/>
      <c r="D34" s="16"/>
      <c r="E34" s="17">
        <v>0</v>
      </c>
      <c r="F34" s="18"/>
      <c r="G34" s="19">
        <f t="shared" si="0"/>
        <v>0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M28"/>
  <sheetViews>
    <sheetView workbookViewId="0">
      <selection activeCell="AW7" sqref="AW7"/>
    </sheetView>
  </sheetViews>
  <sheetFormatPr defaultColWidth="8.85546875" defaultRowHeight="15"/>
  <cols>
    <col min="1" max="1" width="8.140625" style="1" customWidth="1"/>
    <col min="2" max="2" width="19" style="1" customWidth="1"/>
    <col min="3" max="3" width="8.5703125" style="1" customWidth="1"/>
    <col min="4" max="4" width="9.5703125" style="1" customWidth="1"/>
    <col min="5" max="57" width="2.85546875" style="1" customWidth="1"/>
    <col min="58" max="64" width="4" style="1" customWidth="1"/>
    <col min="65" max="65" width="5.28515625" style="1" customWidth="1"/>
    <col min="66" max="16384" width="8.85546875" style="1"/>
  </cols>
  <sheetData>
    <row r="1" spans="1:65" ht="22.5" customHeight="1">
      <c r="A1" s="79" t="s">
        <v>82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  <c r="AC1" s="79"/>
      <c r="AD1" s="79"/>
      <c r="AE1" s="79"/>
      <c r="AF1" s="79"/>
      <c r="AG1" s="79"/>
      <c r="AH1" s="79"/>
      <c r="AI1" s="79"/>
      <c r="AJ1" s="79"/>
      <c r="AK1" s="79"/>
      <c r="AL1" s="79"/>
      <c r="AM1" s="79"/>
      <c r="AN1" s="79"/>
      <c r="AO1" s="79"/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</row>
    <row r="2" spans="1:65" ht="12.75" customHeight="1">
      <c r="A2" s="80" t="s">
        <v>83</v>
      </c>
      <c r="B2" s="80"/>
      <c r="C2" s="80"/>
      <c r="D2" s="80"/>
      <c r="E2" s="80" t="s">
        <v>84</v>
      </c>
      <c r="F2" s="80"/>
      <c r="G2" s="80"/>
      <c r="H2" s="80"/>
      <c r="I2" s="80"/>
      <c r="J2" s="80"/>
      <c r="K2" s="80"/>
      <c r="L2" s="80"/>
      <c r="M2" s="80"/>
      <c r="N2" s="80"/>
      <c r="O2" s="80"/>
      <c r="P2" s="80"/>
      <c r="Q2" s="80"/>
      <c r="R2" s="80"/>
      <c r="S2" s="80"/>
      <c r="T2" s="80"/>
      <c r="U2" s="80"/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0"/>
      <c r="AI2" s="80"/>
      <c r="AJ2" s="80"/>
      <c r="AK2" s="80"/>
      <c r="AL2" s="80"/>
      <c r="AM2" s="80"/>
      <c r="AN2" s="80"/>
      <c r="AO2" s="80"/>
      <c r="AP2" s="80"/>
      <c r="AQ2" s="80"/>
      <c r="AR2" s="80"/>
      <c r="AS2" s="80"/>
      <c r="AT2" s="80"/>
      <c r="AU2" s="80"/>
      <c r="AV2" s="80"/>
      <c r="AW2" s="80"/>
      <c r="AX2" s="80"/>
      <c r="AY2" s="80"/>
      <c r="AZ2" s="80"/>
      <c r="BA2" s="80"/>
      <c r="BB2" s="80"/>
      <c r="BC2" s="80"/>
      <c r="BD2" s="80"/>
      <c r="BE2" s="80"/>
      <c r="BF2" s="80" t="s">
        <v>85</v>
      </c>
      <c r="BG2" s="80"/>
      <c r="BH2" s="80"/>
      <c r="BI2" s="80"/>
      <c r="BJ2" s="80"/>
      <c r="BK2" s="80"/>
      <c r="BL2" s="80"/>
    </row>
    <row r="3" spans="1:65" ht="12.75" customHeight="1">
      <c r="A3" s="80" t="s">
        <v>86</v>
      </c>
      <c r="B3" s="80"/>
      <c r="C3" s="80"/>
      <c r="D3" s="80"/>
      <c r="E3" s="80" t="s">
        <v>87</v>
      </c>
      <c r="F3" s="80"/>
      <c r="G3" s="80"/>
      <c r="H3" s="80"/>
      <c r="I3" s="80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80"/>
      <c r="BH3" s="80"/>
      <c r="BI3" s="80"/>
      <c r="BJ3" s="80"/>
      <c r="BK3" s="80"/>
      <c r="BL3" s="80"/>
    </row>
    <row r="4" spans="1:65" ht="12.75" customHeight="1">
      <c r="A4" s="80" t="s">
        <v>88</v>
      </c>
      <c r="B4" s="80"/>
      <c r="C4" s="80"/>
      <c r="D4" s="80"/>
      <c r="E4" s="80" t="s">
        <v>89</v>
      </c>
      <c r="F4" s="80"/>
      <c r="G4" s="80"/>
      <c r="H4" s="80"/>
      <c r="I4" s="80"/>
      <c r="J4" s="80"/>
      <c r="K4" s="80"/>
      <c r="L4" s="80" t="s">
        <v>90</v>
      </c>
      <c r="M4" s="80"/>
      <c r="N4" s="80"/>
      <c r="O4" s="80"/>
      <c r="P4" s="80"/>
      <c r="Q4" s="80"/>
      <c r="R4" s="80" t="s">
        <v>91</v>
      </c>
      <c r="S4" s="80"/>
      <c r="T4" s="80"/>
      <c r="U4" s="80"/>
      <c r="V4" s="80"/>
      <c r="W4" s="80"/>
      <c r="X4" s="80" t="s">
        <v>92</v>
      </c>
      <c r="Y4" s="80"/>
      <c r="Z4" s="80"/>
      <c r="AA4" s="80"/>
      <c r="AB4" s="80"/>
      <c r="AC4" s="80"/>
      <c r="AD4" s="80" t="s">
        <v>93</v>
      </c>
      <c r="AE4" s="80"/>
      <c r="AF4" s="80"/>
      <c r="AG4" s="80"/>
      <c r="AH4" s="80"/>
      <c r="AI4" s="80"/>
      <c r="AJ4" s="80"/>
      <c r="AK4" s="80" t="s">
        <v>94</v>
      </c>
      <c r="AL4" s="80"/>
      <c r="AM4" s="80"/>
      <c r="AN4" s="80"/>
      <c r="AO4" s="80"/>
      <c r="AP4" s="80"/>
      <c r="AQ4" s="80" t="s">
        <v>95</v>
      </c>
      <c r="AR4" s="80"/>
      <c r="AS4" s="80"/>
      <c r="AT4" s="80"/>
      <c r="AU4" s="80"/>
      <c r="AV4" s="80"/>
      <c r="AW4" s="80"/>
      <c r="AX4" s="80" t="s">
        <v>96</v>
      </c>
      <c r="AY4" s="80"/>
      <c r="AZ4" s="80"/>
      <c r="BA4" s="80"/>
      <c r="BB4" s="80"/>
      <c r="BC4" s="80"/>
      <c r="BD4" s="80"/>
      <c r="BE4" s="80"/>
      <c r="BF4" s="80"/>
      <c r="BG4" s="80"/>
      <c r="BH4" s="80"/>
      <c r="BI4" s="80"/>
      <c r="BJ4" s="80"/>
      <c r="BK4" s="80"/>
      <c r="BL4" s="80"/>
    </row>
    <row r="5" spans="1:65" ht="12.75" customHeight="1">
      <c r="A5" s="80" t="s">
        <v>97</v>
      </c>
      <c r="B5" s="80"/>
      <c r="C5" s="80"/>
      <c r="D5" s="80"/>
      <c r="E5" s="80" t="s">
        <v>98</v>
      </c>
      <c r="F5" s="80"/>
      <c r="G5" s="80"/>
      <c r="H5" s="80"/>
      <c r="I5" s="80"/>
      <c r="J5" s="80"/>
      <c r="K5" s="80"/>
      <c r="L5" s="80" t="s">
        <v>98</v>
      </c>
      <c r="M5" s="80"/>
      <c r="N5" s="80"/>
      <c r="O5" s="80"/>
      <c r="P5" s="80"/>
      <c r="Q5" s="80"/>
      <c r="R5" s="80" t="s">
        <v>98</v>
      </c>
      <c r="S5" s="80"/>
      <c r="T5" s="80"/>
      <c r="U5" s="80"/>
      <c r="V5" s="80"/>
      <c r="W5" s="80"/>
      <c r="X5" s="80" t="s">
        <v>98</v>
      </c>
      <c r="Y5" s="80"/>
      <c r="Z5" s="80"/>
      <c r="AA5" s="80"/>
      <c r="AB5" s="80"/>
      <c r="AC5" s="80"/>
      <c r="AD5" s="80" t="s">
        <v>98</v>
      </c>
      <c r="AE5" s="80"/>
      <c r="AF5" s="80"/>
      <c r="AG5" s="80"/>
      <c r="AH5" s="80"/>
      <c r="AI5" s="80"/>
      <c r="AJ5" s="80"/>
      <c r="AK5" s="80" t="s">
        <v>98</v>
      </c>
      <c r="AL5" s="80"/>
      <c r="AM5" s="80"/>
      <c r="AN5" s="80"/>
      <c r="AO5" s="80"/>
      <c r="AP5" s="80"/>
      <c r="AQ5" s="80" t="s">
        <v>99</v>
      </c>
      <c r="AR5" s="80"/>
      <c r="AS5" s="80"/>
      <c r="AT5" s="80"/>
      <c r="AU5" s="80"/>
      <c r="AV5" s="80"/>
      <c r="AW5" s="80"/>
      <c r="AX5" s="80" t="s">
        <v>100</v>
      </c>
      <c r="AY5" s="80"/>
      <c r="AZ5" s="80"/>
      <c r="BA5" s="80"/>
      <c r="BB5" s="80"/>
      <c r="BC5" s="80"/>
      <c r="BD5" s="80"/>
      <c r="BE5" s="80"/>
      <c r="BF5" s="80"/>
      <c r="BG5" s="80"/>
      <c r="BH5" s="80"/>
      <c r="BI5" s="80"/>
      <c r="BJ5" s="80"/>
      <c r="BK5" s="80"/>
      <c r="BL5" s="80"/>
    </row>
    <row r="6" spans="1:65" ht="12.75" customHeight="1">
      <c r="A6" s="2" t="s">
        <v>101</v>
      </c>
      <c r="B6" s="2" t="s">
        <v>8</v>
      </c>
      <c r="C6" s="2" t="s">
        <v>102</v>
      </c>
      <c r="D6" s="2" t="s">
        <v>9</v>
      </c>
      <c r="E6" s="2" t="s">
        <v>103</v>
      </c>
      <c r="F6" s="2" t="s">
        <v>104</v>
      </c>
      <c r="G6" s="2" t="s">
        <v>105</v>
      </c>
      <c r="H6" s="2" t="s">
        <v>106</v>
      </c>
      <c r="I6" s="2" t="s">
        <v>107</v>
      </c>
      <c r="J6" s="2" t="s">
        <v>108</v>
      </c>
      <c r="K6" s="2" t="s">
        <v>109</v>
      </c>
      <c r="L6" s="2" t="s">
        <v>110</v>
      </c>
      <c r="M6" s="2" t="s">
        <v>105</v>
      </c>
      <c r="N6" s="2" t="s">
        <v>106</v>
      </c>
      <c r="O6" s="2" t="s">
        <v>107</v>
      </c>
      <c r="P6" s="2" t="s">
        <v>108</v>
      </c>
      <c r="Q6" s="2" t="s">
        <v>109</v>
      </c>
      <c r="R6" s="2" t="s">
        <v>110</v>
      </c>
      <c r="S6" s="2" t="s">
        <v>105</v>
      </c>
      <c r="T6" s="2" t="s">
        <v>106</v>
      </c>
      <c r="U6" s="2" t="s">
        <v>107</v>
      </c>
      <c r="V6" s="2" t="s">
        <v>108</v>
      </c>
      <c r="W6" s="2" t="s">
        <v>109</v>
      </c>
      <c r="X6" s="2" t="s">
        <v>110</v>
      </c>
      <c r="Y6" s="2" t="s">
        <v>105</v>
      </c>
      <c r="Z6" s="2" t="s">
        <v>106</v>
      </c>
      <c r="AA6" s="2" t="s">
        <v>107</v>
      </c>
      <c r="AB6" s="2" t="s">
        <v>108</v>
      </c>
      <c r="AC6" s="2" t="s">
        <v>109</v>
      </c>
      <c r="AD6" s="2" t="s">
        <v>111</v>
      </c>
      <c r="AE6" s="2" t="s">
        <v>112</v>
      </c>
      <c r="AF6" s="2" t="s">
        <v>105</v>
      </c>
      <c r="AG6" s="2" t="s">
        <v>106</v>
      </c>
      <c r="AH6" s="2" t="s">
        <v>107</v>
      </c>
      <c r="AI6" s="2" t="s">
        <v>108</v>
      </c>
      <c r="AJ6" s="2" t="s">
        <v>109</v>
      </c>
      <c r="AK6" s="2" t="s">
        <v>113</v>
      </c>
      <c r="AL6" s="2" t="s">
        <v>105</v>
      </c>
      <c r="AM6" s="2" t="s">
        <v>106</v>
      </c>
      <c r="AN6" s="2" t="s">
        <v>107</v>
      </c>
      <c r="AO6" s="2" t="s">
        <v>108</v>
      </c>
      <c r="AP6" s="2" t="s">
        <v>109</v>
      </c>
      <c r="AQ6" s="2" t="s">
        <v>114</v>
      </c>
      <c r="AR6" s="2" t="s">
        <v>111</v>
      </c>
      <c r="AS6" s="2" t="s">
        <v>105</v>
      </c>
      <c r="AT6" s="2" t="s">
        <v>106</v>
      </c>
      <c r="AU6" s="2" t="s">
        <v>107</v>
      </c>
      <c r="AV6" s="2" t="s">
        <v>108</v>
      </c>
      <c r="AW6" s="2" t="s">
        <v>109</v>
      </c>
      <c r="AX6" s="2" t="s">
        <v>114</v>
      </c>
      <c r="AY6" s="2" t="s">
        <v>111</v>
      </c>
      <c r="AZ6" s="2" t="s">
        <v>115</v>
      </c>
      <c r="BA6" s="2" t="s">
        <v>105</v>
      </c>
      <c r="BB6" s="2" t="s">
        <v>106</v>
      </c>
      <c r="BC6" s="2" t="s">
        <v>107</v>
      </c>
      <c r="BD6" s="2" t="s">
        <v>108</v>
      </c>
      <c r="BE6" s="2" t="s">
        <v>109</v>
      </c>
      <c r="BF6" s="2" t="s">
        <v>116</v>
      </c>
      <c r="BG6" s="2" t="s">
        <v>117</v>
      </c>
      <c r="BH6" s="2" t="s">
        <v>118</v>
      </c>
      <c r="BI6" s="2" t="s">
        <v>119</v>
      </c>
      <c r="BJ6" s="2" t="s">
        <v>120</v>
      </c>
      <c r="BK6" s="2" t="s">
        <v>121</v>
      </c>
      <c r="BL6" s="2" t="s">
        <v>122</v>
      </c>
      <c r="BM6" s="9" t="s">
        <v>123</v>
      </c>
    </row>
    <row r="7" spans="1:65" ht="15.75" customHeight="1">
      <c r="A7" s="3" t="s">
        <v>124</v>
      </c>
      <c r="B7" s="3" t="s">
        <v>125</v>
      </c>
      <c r="C7" s="3" t="s">
        <v>126</v>
      </c>
      <c r="D7" s="4">
        <v>38278</v>
      </c>
      <c r="E7" s="5" t="s">
        <v>127</v>
      </c>
      <c r="F7" s="5" t="s">
        <v>127</v>
      </c>
      <c r="G7" s="5"/>
      <c r="H7" s="5" t="s">
        <v>128</v>
      </c>
      <c r="I7" s="3" t="s">
        <v>129</v>
      </c>
      <c r="J7" s="5" t="s">
        <v>99</v>
      </c>
      <c r="K7" s="3"/>
      <c r="L7" s="5" t="s">
        <v>130</v>
      </c>
      <c r="M7" s="5"/>
      <c r="N7" s="5" t="s">
        <v>131</v>
      </c>
      <c r="O7" s="3" t="s">
        <v>129</v>
      </c>
      <c r="P7" s="5" t="s">
        <v>99</v>
      </c>
      <c r="Q7" s="3"/>
      <c r="R7" s="5" t="s">
        <v>132</v>
      </c>
      <c r="S7" s="5"/>
      <c r="T7" s="5" t="s">
        <v>133</v>
      </c>
      <c r="U7" s="3" t="s">
        <v>134</v>
      </c>
      <c r="V7" s="5" t="s">
        <v>98</v>
      </c>
      <c r="W7" s="3"/>
      <c r="X7" s="5" t="s">
        <v>87</v>
      </c>
      <c r="Y7" s="5"/>
      <c r="Z7" s="5" t="s">
        <v>87</v>
      </c>
      <c r="AA7" s="3" t="s">
        <v>135</v>
      </c>
      <c r="AB7" s="5" t="s">
        <v>136</v>
      </c>
      <c r="AC7" s="3"/>
      <c r="AD7" s="5" t="s">
        <v>137</v>
      </c>
      <c r="AE7" s="5" t="s">
        <v>127</v>
      </c>
      <c r="AF7" s="5"/>
      <c r="AG7" s="5" t="s">
        <v>138</v>
      </c>
      <c r="AH7" s="3" t="s">
        <v>134</v>
      </c>
      <c r="AI7" s="5" t="s">
        <v>98</v>
      </c>
      <c r="AJ7" s="3"/>
      <c r="AK7" s="5" t="s">
        <v>139</v>
      </c>
      <c r="AL7" s="5"/>
      <c r="AM7" s="5" t="s">
        <v>140</v>
      </c>
      <c r="AN7" s="3" t="s">
        <v>129</v>
      </c>
      <c r="AO7" s="5" t="s">
        <v>99</v>
      </c>
      <c r="AP7" s="3"/>
      <c r="AQ7" s="5" t="s">
        <v>141</v>
      </c>
      <c r="AR7" s="5" t="s">
        <v>139</v>
      </c>
      <c r="AS7" s="5"/>
      <c r="AT7" s="5" t="s">
        <v>142</v>
      </c>
      <c r="AU7" s="3" t="s">
        <v>134</v>
      </c>
      <c r="AV7" s="5" t="s">
        <v>98</v>
      </c>
      <c r="AW7" s="3"/>
      <c r="AX7" s="5" t="s">
        <v>143</v>
      </c>
      <c r="AY7" s="5" t="s">
        <v>144</v>
      </c>
      <c r="AZ7" s="5" t="s">
        <v>128</v>
      </c>
      <c r="BA7" s="5"/>
      <c r="BB7" s="5" t="s">
        <v>133</v>
      </c>
      <c r="BC7" s="3" t="s">
        <v>134</v>
      </c>
      <c r="BD7" s="5" t="s">
        <v>98</v>
      </c>
      <c r="BE7" s="3"/>
      <c r="BF7" s="7">
        <v>6.68</v>
      </c>
      <c r="BG7" s="7">
        <v>2.38</v>
      </c>
      <c r="BH7" s="7">
        <v>6.68</v>
      </c>
      <c r="BI7" s="3" t="s">
        <v>145</v>
      </c>
      <c r="BJ7" s="8">
        <v>24</v>
      </c>
      <c r="BK7" s="8">
        <v>24</v>
      </c>
      <c r="BL7" s="8"/>
      <c r="BM7" s="10">
        <f>BK7-BJ7</f>
        <v>0</v>
      </c>
    </row>
    <row r="8" spans="1:65" ht="15.75" customHeight="1">
      <c r="A8" s="3" t="s">
        <v>146</v>
      </c>
      <c r="B8" s="3" t="s">
        <v>147</v>
      </c>
      <c r="C8" s="3" t="s">
        <v>126</v>
      </c>
      <c r="D8" s="4">
        <v>38081</v>
      </c>
      <c r="E8" s="5" t="s">
        <v>139</v>
      </c>
      <c r="F8" s="5" t="s">
        <v>139</v>
      </c>
      <c r="G8" s="5"/>
      <c r="H8" s="5" t="s">
        <v>148</v>
      </c>
      <c r="I8" s="3" t="s">
        <v>134</v>
      </c>
      <c r="J8" s="5" t="s">
        <v>98</v>
      </c>
      <c r="K8" s="3"/>
      <c r="L8" s="5" t="s">
        <v>140</v>
      </c>
      <c r="M8" s="5"/>
      <c r="N8" s="5" t="s">
        <v>128</v>
      </c>
      <c r="O8" s="3" t="s">
        <v>129</v>
      </c>
      <c r="P8" s="5" t="s">
        <v>99</v>
      </c>
      <c r="Q8" s="3"/>
      <c r="R8" s="5" t="s">
        <v>149</v>
      </c>
      <c r="S8" s="5"/>
      <c r="T8" s="5" t="s">
        <v>150</v>
      </c>
      <c r="U8" s="3" t="s">
        <v>151</v>
      </c>
      <c r="V8" s="5" t="s">
        <v>99</v>
      </c>
      <c r="W8" s="3"/>
      <c r="X8" s="5" t="s">
        <v>152</v>
      </c>
      <c r="Y8" s="5"/>
      <c r="Z8" s="5" t="s">
        <v>153</v>
      </c>
      <c r="AA8" s="6" t="s">
        <v>154</v>
      </c>
      <c r="AB8" s="5" t="s">
        <v>152</v>
      </c>
      <c r="AC8" s="3"/>
      <c r="AD8" s="5" t="s">
        <v>155</v>
      </c>
      <c r="AE8" s="5" t="s">
        <v>139</v>
      </c>
      <c r="AF8" s="5"/>
      <c r="AG8" s="5" t="s">
        <v>156</v>
      </c>
      <c r="AH8" s="3" t="s">
        <v>134</v>
      </c>
      <c r="AI8" s="5" t="s">
        <v>98</v>
      </c>
      <c r="AJ8" s="3"/>
      <c r="AK8" s="5" t="s">
        <v>143</v>
      </c>
      <c r="AL8" s="5"/>
      <c r="AM8" s="5" t="s">
        <v>131</v>
      </c>
      <c r="AN8" s="3" t="s">
        <v>129</v>
      </c>
      <c r="AO8" s="5" t="s">
        <v>99</v>
      </c>
      <c r="AP8" s="3"/>
      <c r="AQ8" s="5" t="s">
        <v>137</v>
      </c>
      <c r="AR8" s="5" t="s">
        <v>127</v>
      </c>
      <c r="AS8" s="5"/>
      <c r="AT8" s="5" t="s">
        <v>157</v>
      </c>
      <c r="AU8" s="3" t="s">
        <v>134</v>
      </c>
      <c r="AV8" s="5" t="s">
        <v>98</v>
      </c>
      <c r="AW8" s="3"/>
      <c r="AX8" s="5" t="s">
        <v>141</v>
      </c>
      <c r="AY8" s="5" t="s">
        <v>141</v>
      </c>
      <c r="AZ8" s="5" t="s">
        <v>158</v>
      </c>
      <c r="BA8" s="5"/>
      <c r="BB8" s="5" t="s">
        <v>138</v>
      </c>
      <c r="BC8" s="3" t="s">
        <v>134</v>
      </c>
      <c r="BD8" s="5" t="s">
        <v>98</v>
      </c>
      <c r="BE8" s="3"/>
      <c r="BF8" s="7">
        <v>6.1</v>
      </c>
      <c r="BG8" s="7">
        <v>2.57</v>
      </c>
      <c r="BH8" s="7">
        <v>6.1</v>
      </c>
      <c r="BI8" s="3" t="s">
        <v>145</v>
      </c>
      <c r="BJ8" s="8">
        <v>21</v>
      </c>
      <c r="BK8" s="8">
        <v>24</v>
      </c>
      <c r="BL8" s="8">
        <v>1</v>
      </c>
      <c r="BM8" s="10">
        <f t="shared" ref="BM8:BM28" si="0">BK8-BJ8</f>
        <v>3</v>
      </c>
    </row>
    <row r="9" spans="1:65" ht="15.75" customHeight="1">
      <c r="A9" s="3" t="s">
        <v>159</v>
      </c>
      <c r="B9" s="3" t="s">
        <v>160</v>
      </c>
      <c r="C9" s="3" t="s">
        <v>126</v>
      </c>
      <c r="D9" s="4">
        <v>37971</v>
      </c>
      <c r="E9" s="5" t="s">
        <v>152</v>
      </c>
      <c r="F9" s="5" t="s">
        <v>152</v>
      </c>
      <c r="G9" s="5"/>
      <c r="H9" s="5" t="s">
        <v>153</v>
      </c>
      <c r="I9" s="6" t="s">
        <v>154</v>
      </c>
      <c r="J9" s="5" t="s">
        <v>152</v>
      </c>
      <c r="K9" s="3"/>
      <c r="L9" s="5" t="s">
        <v>152</v>
      </c>
      <c r="M9" s="5"/>
      <c r="N9" s="5" t="s">
        <v>153</v>
      </c>
      <c r="O9" s="6" t="s">
        <v>154</v>
      </c>
      <c r="P9" s="5" t="s">
        <v>152</v>
      </c>
      <c r="Q9" s="3"/>
      <c r="R9" s="5" t="s">
        <v>152</v>
      </c>
      <c r="S9" s="5"/>
      <c r="T9" s="5" t="s">
        <v>153</v>
      </c>
      <c r="U9" s="6" t="s">
        <v>154</v>
      </c>
      <c r="V9" s="5" t="s">
        <v>152</v>
      </c>
      <c r="W9" s="3"/>
      <c r="X9" s="5" t="s">
        <v>152</v>
      </c>
      <c r="Y9" s="5"/>
      <c r="Z9" s="5" t="s">
        <v>153</v>
      </c>
      <c r="AA9" s="6" t="s">
        <v>154</v>
      </c>
      <c r="AB9" s="5" t="s">
        <v>152</v>
      </c>
      <c r="AC9" s="3"/>
      <c r="AD9" s="5" t="s">
        <v>152</v>
      </c>
      <c r="AE9" s="5" t="s">
        <v>152</v>
      </c>
      <c r="AF9" s="5"/>
      <c r="AG9" s="5" t="s">
        <v>153</v>
      </c>
      <c r="AH9" s="6" t="s">
        <v>154</v>
      </c>
      <c r="AI9" s="5" t="s">
        <v>152</v>
      </c>
      <c r="AJ9" s="3"/>
      <c r="AK9" s="5" t="s">
        <v>152</v>
      </c>
      <c r="AL9" s="5"/>
      <c r="AM9" s="5" t="s">
        <v>153</v>
      </c>
      <c r="AN9" s="6" t="s">
        <v>154</v>
      </c>
      <c r="AO9" s="5" t="s">
        <v>152</v>
      </c>
      <c r="AP9" s="3"/>
      <c r="AQ9" s="5" t="s">
        <v>152</v>
      </c>
      <c r="AR9" s="5" t="s">
        <v>152</v>
      </c>
      <c r="AS9" s="5"/>
      <c r="AT9" s="5" t="s">
        <v>153</v>
      </c>
      <c r="AU9" s="6" t="s">
        <v>154</v>
      </c>
      <c r="AV9" s="5" t="s">
        <v>152</v>
      </c>
      <c r="AW9" s="3"/>
      <c r="AX9" s="5" t="s">
        <v>152</v>
      </c>
      <c r="AY9" s="5" t="s">
        <v>127</v>
      </c>
      <c r="AZ9" s="5" t="s">
        <v>161</v>
      </c>
      <c r="BA9" s="5"/>
      <c r="BB9" s="5" t="s">
        <v>162</v>
      </c>
      <c r="BC9" s="6" t="s">
        <v>154</v>
      </c>
      <c r="BD9" s="5" t="s">
        <v>152</v>
      </c>
      <c r="BE9" s="3"/>
      <c r="BF9" s="7">
        <v>0.35</v>
      </c>
      <c r="BG9" s="7">
        <v>0</v>
      </c>
      <c r="BH9" s="7">
        <v>0.35</v>
      </c>
      <c r="BI9" s="3"/>
      <c r="BJ9" s="8">
        <v>0</v>
      </c>
      <c r="BK9" s="8">
        <v>24</v>
      </c>
      <c r="BL9" s="8">
        <v>8</v>
      </c>
      <c r="BM9" s="10">
        <f t="shared" si="0"/>
        <v>24</v>
      </c>
    </row>
    <row r="10" spans="1:65" ht="15.75" customHeight="1">
      <c r="A10" s="3" t="s">
        <v>163</v>
      </c>
      <c r="B10" s="3" t="s">
        <v>164</v>
      </c>
      <c r="C10" s="3" t="s">
        <v>126</v>
      </c>
      <c r="D10" s="4">
        <v>38202</v>
      </c>
      <c r="E10" s="5" t="s">
        <v>128</v>
      </c>
      <c r="F10" s="5" t="s">
        <v>128</v>
      </c>
      <c r="G10" s="5"/>
      <c r="H10" s="5" t="s">
        <v>165</v>
      </c>
      <c r="I10" s="3" t="s">
        <v>151</v>
      </c>
      <c r="J10" s="5" t="s">
        <v>99</v>
      </c>
      <c r="K10" s="3"/>
      <c r="L10" s="5" t="s">
        <v>166</v>
      </c>
      <c r="M10" s="5"/>
      <c r="N10" s="5" t="s">
        <v>150</v>
      </c>
      <c r="O10" s="3" t="s">
        <v>151</v>
      </c>
      <c r="P10" s="5" t="s">
        <v>99</v>
      </c>
      <c r="Q10" s="3"/>
      <c r="R10" s="5" t="s">
        <v>132</v>
      </c>
      <c r="S10" s="5"/>
      <c r="T10" s="5" t="s">
        <v>167</v>
      </c>
      <c r="U10" s="3" t="s">
        <v>151</v>
      </c>
      <c r="V10" s="5" t="s">
        <v>99</v>
      </c>
      <c r="W10" s="3"/>
      <c r="X10" s="5" t="s">
        <v>87</v>
      </c>
      <c r="Y10" s="5"/>
      <c r="Z10" s="5" t="s">
        <v>87</v>
      </c>
      <c r="AA10" s="3" t="s">
        <v>135</v>
      </c>
      <c r="AB10" s="5" t="s">
        <v>136</v>
      </c>
      <c r="AC10" s="3"/>
      <c r="AD10" s="5" t="s">
        <v>137</v>
      </c>
      <c r="AE10" s="5" t="s">
        <v>87</v>
      </c>
      <c r="AF10" s="5"/>
      <c r="AG10" s="5" t="s">
        <v>140</v>
      </c>
      <c r="AH10" s="3" t="s">
        <v>129</v>
      </c>
      <c r="AI10" s="5" t="s">
        <v>99</v>
      </c>
      <c r="AJ10" s="3"/>
      <c r="AK10" s="5" t="s">
        <v>168</v>
      </c>
      <c r="AL10" s="5"/>
      <c r="AM10" s="5" t="s">
        <v>130</v>
      </c>
      <c r="AN10" s="3" t="s">
        <v>129</v>
      </c>
      <c r="AO10" s="5" t="s">
        <v>99</v>
      </c>
      <c r="AP10" s="3"/>
      <c r="AQ10" s="5" t="s">
        <v>137</v>
      </c>
      <c r="AR10" s="5" t="s">
        <v>139</v>
      </c>
      <c r="AS10" s="5"/>
      <c r="AT10" s="5" t="s">
        <v>169</v>
      </c>
      <c r="AU10" s="3" t="s">
        <v>170</v>
      </c>
      <c r="AV10" s="5" t="s">
        <v>98</v>
      </c>
      <c r="AW10" s="3"/>
      <c r="AX10" s="5" t="s">
        <v>139</v>
      </c>
      <c r="AY10" s="5" t="s">
        <v>171</v>
      </c>
      <c r="AZ10" s="5" t="s">
        <v>156</v>
      </c>
      <c r="BA10" s="5"/>
      <c r="BB10" s="5" t="s">
        <v>138</v>
      </c>
      <c r="BC10" s="3" t="s">
        <v>134</v>
      </c>
      <c r="BD10" s="5" t="s">
        <v>98</v>
      </c>
      <c r="BE10" s="3"/>
      <c r="BF10" s="7">
        <v>6.27</v>
      </c>
      <c r="BG10" s="7">
        <v>2.13</v>
      </c>
      <c r="BH10" s="7">
        <v>6.27</v>
      </c>
      <c r="BI10" s="3" t="s">
        <v>145</v>
      </c>
      <c r="BJ10" s="8">
        <v>24</v>
      </c>
      <c r="BK10" s="8">
        <v>24</v>
      </c>
      <c r="BL10" s="8"/>
      <c r="BM10" s="10">
        <f t="shared" si="0"/>
        <v>0</v>
      </c>
    </row>
    <row r="11" spans="1:65" ht="15.75" customHeight="1">
      <c r="A11" s="3" t="s">
        <v>172</v>
      </c>
      <c r="B11" s="3" t="s">
        <v>173</v>
      </c>
      <c r="C11" s="3" t="s">
        <v>126</v>
      </c>
      <c r="D11" s="4">
        <v>38262</v>
      </c>
      <c r="E11" s="5" t="s">
        <v>141</v>
      </c>
      <c r="F11" s="5" t="s">
        <v>171</v>
      </c>
      <c r="G11" s="5"/>
      <c r="H11" s="5" t="s">
        <v>174</v>
      </c>
      <c r="I11" s="3" t="s">
        <v>170</v>
      </c>
      <c r="J11" s="5" t="s">
        <v>98</v>
      </c>
      <c r="K11" s="3"/>
      <c r="L11" s="5" t="s">
        <v>144</v>
      </c>
      <c r="M11" s="5"/>
      <c r="N11" s="5" t="s">
        <v>175</v>
      </c>
      <c r="O11" s="3" t="s">
        <v>176</v>
      </c>
      <c r="P11" s="5" t="s">
        <v>100</v>
      </c>
      <c r="Q11" s="3"/>
      <c r="R11" s="5" t="s">
        <v>177</v>
      </c>
      <c r="S11" s="5"/>
      <c r="T11" s="5" t="s">
        <v>174</v>
      </c>
      <c r="U11" s="3" t="s">
        <v>170</v>
      </c>
      <c r="V11" s="5" t="s">
        <v>98</v>
      </c>
      <c r="W11" s="3"/>
      <c r="X11" s="5" t="s">
        <v>171</v>
      </c>
      <c r="Y11" s="5"/>
      <c r="Z11" s="5" t="s">
        <v>171</v>
      </c>
      <c r="AA11" s="3" t="s">
        <v>178</v>
      </c>
      <c r="AB11" s="5" t="s">
        <v>100</v>
      </c>
      <c r="AC11" s="3"/>
      <c r="AD11" s="5" t="s">
        <v>137</v>
      </c>
      <c r="AE11" s="5" t="s">
        <v>171</v>
      </c>
      <c r="AF11" s="5"/>
      <c r="AG11" s="5" t="s">
        <v>171</v>
      </c>
      <c r="AH11" s="3" t="s">
        <v>178</v>
      </c>
      <c r="AI11" s="5" t="s">
        <v>100</v>
      </c>
      <c r="AJ11" s="3"/>
      <c r="AK11" s="5" t="s">
        <v>171</v>
      </c>
      <c r="AL11" s="5"/>
      <c r="AM11" s="5" t="s">
        <v>141</v>
      </c>
      <c r="AN11" s="3" t="s">
        <v>176</v>
      </c>
      <c r="AO11" s="5" t="s">
        <v>100</v>
      </c>
      <c r="AP11" s="3"/>
      <c r="AQ11" s="5" t="s">
        <v>137</v>
      </c>
      <c r="AR11" s="5" t="s">
        <v>141</v>
      </c>
      <c r="AS11" s="5"/>
      <c r="AT11" s="5" t="s">
        <v>179</v>
      </c>
      <c r="AU11" s="3" t="s">
        <v>178</v>
      </c>
      <c r="AV11" s="5" t="s">
        <v>100</v>
      </c>
      <c r="AW11" s="3"/>
      <c r="AX11" s="5" t="s">
        <v>144</v>
      </c>
      <c r="AY11" s="5" t="s">
        <v>144</v>
      </c>
      <c r="AZ11" s="5" t="s">
        <v>139</v>
      </c>
      <c r="BA11" s="5"/>
      <c r="BB11" s="5" t="s">
        <v>180</v>
      </c>
      <c r="BC11" s="3" t="s">
        <v>170</v>
      </c>
      <c r="BD11" s="5" t="s">
        <v>98</v>
      </c>
      <c r="BE11" s="3"/>
      <c r="BF11" s="7">
        <v>8.61</v>
      </c>
      <c r="BG11" s="7">
        <v>3.58</v>
      </c>
      <c r="BH11" s="7">
        <v>8.61</v>
      </c>
      <c r="BI11" s="3" t="s">
        <v>181</v>
      </c>
      <c r="BJ11" s="8">
        <v>24</v>
      </c>
      <c r="BK11" s="8">
        <v>24</v>
      </c>
      <c r="BL11" s="8"/>
      <c r="BM11" s="10">
        <f t="shared" si="0"/>
        <v>0</v>
      </c>
    </row>
    <row r="12" spans="1:65" ht="15.75" customHeight="1">
      <c r="A12" s="3" t="s">
        <v>182</v>
      </c>
      <c r="B12" s="3" t="s">
        <v>173</v>
      </c>
      <c r="C12" s="3" t="s">
        <v>126</v>
      </c>
      <c r="D12" s="4">
        <v>38299</v>
      </c>
      <c r="E12" s="5" t="s">
        <v>127</v>
      </c>
      <c r="F12" s="5" t="s">
        <v>127</v>
      </c>
      <c r="G12" s="5"/>
      <c r="H12" s="5" t="s">
        <v>130</v>
      </c>
      <c r="I12" s="3" t="s">
        <v>129</v>
      </c>
      <c r="J12" s="5" t="s">
        <v>99</v>
      </c>
      <c r="K12" s="3"/>
      <c r="L12" s="5" t="s">
        <v>177</v>
      </c>
      <c r="M12" s="5"/>
      <c r="N12" s="5" t="s">
        <v>168</v>
      </c>
      <c r="O12" s="3" t="s">
        <v>134</v>
      </c>
      <c r="P12" s="5" t="s">
        <v>98</v>
      </c>
      <c r="Q12" s="3"/>
      <c r="R12" s="5" t="s">
        <v>157</v>
      </c>
      <c r="S12" s="5"/>
      <c r="T12" s="5" t="s">
        <v>127</v>
      </c>
      <c r="U12" s="3" t="s">
        <v>134</v>
      </c>
      <c r="V12" s="5" t="s">
        <v>98</v>
      </c>
      <c r="W12" s="3"/>
      <c r="X12" s="5" t="s">
        <v>128</v>
      </c>
      <c r="Y12" s="5"/>
      <c r="Z12" s="5" t="s">
        <v>128</v>
      </c>
      <c r="AA12" s="3" t="s">
        <v>129</v>
      </c>
      <c r="AB12" s="5" t="s">
        <v>99</v>
      </c>
      <c r="AC12" s="3"/>
      <c r="AD12" s="5" t="s">
        <v>155</v>
      </c>
      <c r="AE12" s="5" t="s">
        <v>127</v>
      </c>
      <c r="AF12" s="5"/>
      <c r="AG12" s="5" t="s">
        <v>127</v>
      </c>
      <c r="AH12" s="3" t="s">
        <v>134</v>
      </c>
      <c r="AI12" s="5" t="s">
        <v>98</v>
      </c>
      <c r="AJ12" s="3"/>
      <c r="AK12" s="5" t="s">
        <v>139</v>
      </c>
      <c r="AL12" s="5"/>
      <c r="AM12" s="5" t="s">
        <v>157</v>
      </c>
      <c r="AN12" s="3" t="s">
        <v>134</v>
      </c>
      <c r="AO12" s="5" t="s">
        <v>98</v>
      </c>
      <c r="AP12" s="3"/>
      <c r="AQ12" s="5" t="s">
        <v>137</v>
      </c>
      <c r="AR12" s="5" t="s">
        <v>139</v>
      </c>
      <c r="AS12" s="5"/>
      <c r="AT12" s="5" t="s">
        <v>180</v>
      </c>
      <c r="AU12" s="3" t="s">
        <v>170</v>
      </c>
      <c r="AV12" s="5" t="s">
        <v>98</v>
      </c>
      <c r="AW12" s="3"/>
      <c r="AX12" s="5" t="s">
        <v>144</v>
      </c>
      <c r="AY12" s="5" t="s">
        <v>171</v>
      </c>
      <c r="AZ12" s="5" t="s">
        <v>139</v>
      </c>
      <c r="BA12" s="5"/>
      <c r="BB12" s="5" t="s">
        <v>180</v>
      </c>
      <c r="BC12" s="3" t="s">
        <v>170</v>
      </c>
      <c r="BD12" s="5" t="s">
        <v>98</v>
      </c>
      <c r="BE12" s="3"/>
      <c r="BF12" s="7">
        <v>7.3</v>
      </c>
      <c r="BG12" s="7">
        <v>2.75</v>
      </c>
      <c r="BH12" s="7">
        <v>7.3</v>
      </c>
      <c r="BI12" s="3" t="s">
        <v>183</v>
      </c>
      <c r="BJ12" s="8">
        <v>24</v>
      </c>
      <c r="BK12" s="8">
        <v>24</v>
      </c>
      <c r="BL12" s="8"/>
      <c r="BM12" s="10">
        <f t="shared" si="0"/>
        <v>0</v>
      </c>
    </row>
    <row r="13" spans="1:65" ht="15.75" customHeight="1">
      <c r="A13" s="3" t="s">
        <v>184</v>
      </c>
      <c r="B13" s="3" t="s">
        <v>185</v>
      </c>
      <c r="C13" s="3" t="s">
        <v>126</v>
      </c>
      <c r="D13" s="4">
        <v>38082</v>
      </c>
      <c r="E13" s="5" t="s">
        <v>139</v>
      </c>
      <c r="F13" s="5" t="s">
        <v>143</v>
      </c>
      <c r="G13" s="5"/>
      <c r="H13" s="5" t="s">
        <v>186</v>
      </c>
      <c r="I13" s="3" t="s">
        <v>134</v>
      </c>
      <c r="J13" s="5" t="s">
        <v>98</v>
      </c>
      <c r="K13" s="3"/>
      <c r="L13" s="5" t="s">
        <v>156</v>
      </c>
      <c r="M13" s="5"/>
      <c r="N13" s="5" t="s">
        <v>187</v>
      </c>
      <c r="O13" s="3" t="s">
        <v>129</v>
      </c>
      <c r="P13" s="5" t="s">
        <v>99</v>
      </c>
      <c r="Q13" s="3"/>
      <c r="R13" s="5" t="s">
        <v>186</v>
      </c>
      <c r="S13" s="5"/>
      <c r="T13" s="5" t="s">
        <v>142</v>
      </c>
      <c r="U13" s="3" t="s">
        <v>134</v>
      </c>
      <c r="V13" s="5" t="s">
        <v>98</v>
      </c>
      <c r="W13" s="3"/>
      <c r="X13" s="5" t="s">
        <v>128</v>
      </c>
      <c r="Y13" s="5"/>
      <c r="Z13" s="5" t="s">
        <v>128</v>
      </c>
      <c r="AA13" s="3" t="s">
        <v>129</v>
      </c>
      <c r="AB13" s="5" t="s">
        <v>99</v>
      </c>
      <c r="AC13" s="3"/>
      <c r="AD13" s="5" t="s">
        <v>137</v>
      </c>
      <c r="AE13" s="5" t="s">
        <v>128</v>
      </c>
      <c r="AF13" s="5"/>
      <c r="AG13" s="5" t="s">
        <v>148</v>
      </c>
      <c r="AH13" s="3" t="s">
        <v>134</v>
      </c>
      <c r="AI13" s="5" t="s">
        <v>98</v>
      </c>
      <c r="AJ13" s="3"/>
      <c r="AK13" s="5" t="s">
        <v>127</v>
      </c>
      <c r="AL13" s="5"/>
      <c r="AM13" s="5" t="s">
        <v>138</v>
      </c>
      <c r="AN13" s="3" t="s">
        <v>134</v>
      </c>
      <c r="AO13" s="5" t="s">
        <v>98</v>
      </c>
      <c r="AP13" s="3"/>
      <c r="AQ13" s="5" t="s">
        <v>137</v>
      </c>
      <c r="AR13" s="5" t="s">
        <v>139</v>
      </c>
      <c r="AS13" s="5"/>
      <c r="AT13" s="5" t="s">
        <v>174</v>
      </c>
      <c r="AU13" s="3" t="s">
        <v>170</v>
      </c>
      <c r="AV13" s="5" t="s">
        <v>98</v>
      </c>
      <c r="AW13" s="3"/>
      <c r="AX13" s="5" t="s">
        <v>144</v>
      </c>
      <c r="AY13" s="5" t="s">
        <v>171</v>
      </c>
      <c r="AZ13" s="5" t="s">
        <v>156</v>
      </c>
      <c r="BA13" s="5"/>
      <c r="BB13" s="5" t="s">
        <v>168</v>
      </c>
      <c r="BC13" s="3" t="s">
        <v>134</v>
      </c>
      <c r="BD13" s="5" t="s">
        <v>98</v>
      </c>
      <c r="BE13" s="3"/>
      <c r="BF13" s="7">
        <v>7.32</v>
      </c>
      <c r="BG13" s="7">
        <v>2.75</v>
      </c>
      <c r="BH13" s="7">
        <v>7.32</v>
      </c>
      <c r="BI13" s="3" t="s">
        <v>183</v>
      </c>
      <c r="BJ13" s="8">
        <v>24</v>
      </c>
      <c r="BK13" s="8">
        <v>24</v>
      </c>
      <c r="BL13" s="8"/>
      <c r="BM13" s="10">
        <f t="shared" si="0"/>
        <v>0</v>
      </c>
    </row>
    <row r="14" spans="1:65" ht="15.75" customHeight="1">
      <c r="A14" s="3" t="s">
        <v>188</v>
      </c>
      <c r="B14" s="3" t="s">
        <v>189</v>
      </c>
      <c r="C14" s="3" t="s">
        <v>126</v>
      </c>
      <c r="D14" s="4">
        <v>38180</v>
      </c>
      <c r="E14" s="5" t="s">
        <v>127</v>
      </c>
      <c r="F14" s="5" t="s">
        <v>127</v>
      </c>
      <c r="G14" s="5"/>
      <c r="H14" s="5" t="s">
        <v>128</v>
      </c>
      <c r="I14" s="3" t="s">
        <v>129</v>
      </c>
      <c r="J14" s="5" t="s">
        <v>99</v>
      </c>
      <c r="K14" s="3"/>
      <c r="L14" s="5" t="s">
        <v>186</v>
      </c>
      <c r="M14" s="5"/>
      <c r="N14" s="5" t="s">
        <v>156</v>
      </c>
      <c r="O14" s="3" t="s">
        <v>134</v>
      </c>
      <c r="P14" s="5" t="s">
        <v>98</v>
      </c>
      <c r="Q14" s="3"/>
      <c r="R14" s="5" t="s">
        <v>169</v>
      </c>
      <c r="S14" s="5"/>
      <c r="T14" s="5" t="s">
        <v>168</v>
      </c>
      <c r="U14" s="3" t="s">
        <v>134</v>
      </c>
      <c r="V14" s="5" t="s">
        <v>98</v>
      </c>
      <c r="W14" s="3"/>
      <c r="X14" s="5" t="s">
        <v>152</v>
      </c>
      <c r="Y14" s="5"/>
      <c r="Z14" s="5" t="s">
        <v>153</v>
      </c>
      <c r="AA14" s="6" t="s">
        <v>154</v>
      </c>
      <c r="AB14" s="5" t="s">
        <v>152</v>
      </c>
      <c r="AC14" s="3"/>
      <c r="AD14" s="5" t="s">
        <v>137</v>
      </c>
      <c r="AE14" s="5" t="s">
        <v>139</v>
      </c>
      <c r="AF14" s="5"/>
      <c r="AG14" s="5" t="s">
        <v>180</v>
      </c>
      <c r="AH14" s="3" t="s">
        <v>170</v>
      </c>
      <c r="AI14" s="5" t="s">
        <v>98</v>
      </c>
      <c r="AJ14" s="3"/>
      <c r="AK14" s="5" t="s">
        <v>139</v>
      </c>
      <c r="AL14" s="5"/>
      <c r="AM14" s="5" t="s">
        <v>190</v>
      </c>
      <c r="AN14" s="6" t="s">
        <v>154</v>
      </c>
      <c r="AO14" s="5" t="s">
        <v>99</v>
      </c>
      <c r="AP14" s="3"/>
      <c r="AQ14" s="5" t="s">
        <v>137</v>
      </c>
      <c r="AR14" s="5" t="s">
        <v>139</v>
      </c>
      <c r="AS14" s="5"/>
      <c r="AT14" s="5" t="s">
        <v>157</v>
      </c>
      <c r="AU14" s="3" t="s">
        <v>134</v>
      </c>
      <c r="AV14" s="5" t="s">
        <v>98</v>
      </c>
      <c r="AW14" s="3"/>
      <c r="AX14" s="5" t="s">
        <v>141</v>
      </c>
      <c r="AY14" s="5" t="s">
        <v>171</v>
      </c>
      <c r="AZ14" s="5" t="s">
        <v>156</v>
      </c>
      <c r="BA14" s="5"/>
      <c r="BB14" s="5" t="s">
        <v>142</v>
      </c>
      <c r="BC14" s="3" t="s">
        <v>134</v>
      </c>
      <c r="BD14" s="5" t="s">
        <v>98</v>
      </c>
      <c r="BE14" s="3"/>
      <c r="BF14" s="7">
        <v>6.29</v>
      </c>
      <c r="BG14" s="7">
        <v>2.83</v>
      </c>
      <c r="BH14" s="7">
        <v>6.29</v>
      </c>
      <c r="BI14" s="3" t="s">
        <v>145</v>
      </c>
      <c r="BJ14" s="8">
        <v>18</v>
      </c>
      <c r="BK14" s="8">
        <v>24</v>
      </c>
      <c r="BL14" s="8">
        <v>2</v>
      </c>
      <c r="BM14" s="10">
        <f t="shared" si="0"/>
        <v>6</v>
      </c>
    </row>
    <row r="15" spans="1:65" ht="15.75" customHeight="1">
      <c r="A15" s="3" t="s">
        <v>191</v>
      </c>
      <c r="B15" s="3" t="s">
        <v>192</v>
      </c>
      <c r="C15" s="3" t="s">
        <v>126</v>
      </c>
      <c r="D15" s="4">
        <v>38039</v>
      </c>
      <c r="E15" s="5" t="s">
        <v>171</v>
      </c>
      <c r="F15" s="5" t="s">
        <v>171</v>
      </c>
      <c r="G15" s="5"/>
      <c r="H15" s="5" t="s">
        <v>148</v>
      </c>
      <c r="I15" s="3" t="s">
        <v>134</v>
      </c>
      <c r="J15" s="5" t="s">
        <v>98</v>
      </c>
      <c r="K15" s="3"/>
      <c r="L15" s="5" t="s">
        <v>169</v>
      </c>
      <c r="M15" s="5"/>
      <c r="N15" s="5" t="s">
        <v>139</v>
      </c>
      <c r="O15" s="3" t="s">
        <v>170</v>
      </c>
      <c r="P15" s="5" t="s">
        <v>98</v>
      </c>
      <c r="Q15" s="3"/>
      <c r="R15" s="5" t="s">
        <v>157</v>
      </c>
      <c r="S15" s="5"/>
      <c r="T15" s="5" t="s">
        <v>171</v>
      </c>
      <c r="U15" s="3" t="s">
        <v>178</v>
      </c>
      <c r="V15" s="5" t="s">
        <v>100</v>
      </c>
      <c r="W15" s="3"/>
      <c r="X15" s="5" t="s">
        <v>140</v>
      </c>
      <c r="Y15" s="5"/>
      <c r="Z15" s="5" t="s">
        <v>193</v>
      </c>
      <c r="AA15" s="3" t="s">
        <v>129</v>
      </c>
      <c r="AB15" s="5" t="s">
        <v>99</v>
      </c>
      <c r="AC15" s="3"/>
      <c r="AD15" s="5" t="s">
        <v>194</v>
      </c>
      <c r="AE15" s="5" t="s">
        <v>127</v>
      </c>
      <c r="AF15" s="5"/>
      <c r="AG15" s="5" t="s">
        <v>148</v>
      </c>
      <c r="AH15" s="3" t="s">
        <v>134</v>
      </c>
      <c r="AI15" s="5" t="s">
        <v>98</v>
      </c>
      <c r="AJ15" s="3"/>
      <c r="AK15" s="5" t="s">
        <v>171</v>
      </c>
      <c r="AL15" s="5"/>
      <c r="AM15" s="5" t="s">
        <v>148</v>
      </c>
      <c r="AN15" s="3" t="s">
        <v>134</v>
      </c>
      <c r="AO15" s="5" t="s">
        <v>98</v>
      </c>
      <c r="AP15" s="3"/>
      <c r="AQ15" s="5" t="s">
        <v>141</v>
      </c>
      <c r="AR15" s="5" t="s">
        <v>139</v>
      </c>
      <c r="AS15" s="5"/>
      <c r="AT15" s="5" t="s">
        <v>148</v>
      </c>
      <c r="AU15" s="3" t="s">
        <v>134</v>
      </c>
      <c r="AV15" s="5" t="s">
        <v>98</v>
      </c>
      <c r="AW15" s="3"/>
      <c r="AX15" s="5" t="s">
        <v>171</v>
      </c>
      <c r="AY15" s="5" t="s">
        <v>141</v>
      </c>
      <c r="AZ15" s="5" t="s">
        <v>193</v>
      </c>
      <c r="BA15" s="5"/>
      <c r="BB15" s="5" t="s">
        <v>186</v>
      </c>
      <c r="BC15" s="3" t="s">
        <v>134</v>
      </c>
      <c r="BD15" s="5" t="s">
        <v>98</v>
      </c>
      <c r="BE15" s="3"/>
      <c r="BF15" s="7">
        <v>7.72</v>
      </c>
      <c r="BG15" s="7">
        <v>3</v>
      </c>
      <c r="BH15" s="7">
        <v>7.72</v>
      </c>
      <c r="BI15" s="3" t="s">
        <v>183</v>
      </c>
      <c r="BJ15" s="8">
        <v>24</v>
      </c>
      <c r="BK15" s="8">
        <v>24</v>
      </c>
      <c r="BL15" s="8"/>
      <c r="BM15" s="10">
        <f t="shared" si="0"/>
        <v>0</v>
      </c>
    </row>
    <row r="16" spans="1:65" ht="15.75" customHeight="1">
      <c r="A16" s="3" t="s">
        <v>195</v>
      </c>
      <c r="B16" s="3" t="s">
        <v>196</v>
      </c>
      <c r="C16" s="3" t="s">
        <v>126</v>
      </c>
      <c r="D16" s="4">
        <v>38021</v>
      </c>
      <c r="E16" s="5" t="s">
        <v>139</v>
      </c>
      <c r="F16" s="5" t="s">
        <v>139</v>
      </c>
      <c r="G16" s="5"/>
      <c r="H16" s="5" t="s">
        <v>148</v>
      </c>
      <c r="I16" s="3" t="s">
        <v>134</v>
      </c>
      <c r="J16" s="5" t="s">
        <v>98</v>
      </c>
      <c r="K16" s="3"/>
      <c r="L16" s="5" t="s">
        <v>131</v>
      </c>
      <c r="M16" s="5"/>
      <c r="N16" s="5" t="s">
        <v>140</v>
      </c>
      <c r="O16" s="3" t="s">
        <v>129</v>
      </c>
      <c r="P16" s="5" t="s">
        <v>99</v>
      </c>
      <c r="Q16" s="3"/>
      <c r="R16" s="5" t="s">
        <v>156</v>
      </c>
      <c r="S16" s="5"/>
      <c r="T16" s="5" t="s">
        <v>133</v>
      </c>
      <c r="U16" s="3" t="s">
        <v>134</v>
      </c>
      <c r="V16" s="5" t="s">
        <v>98</v>
      </c>
      <c r="W16" s="3"/>
      <c r="X16" s="5" t="s">
        <v>127</v>
      </c>
      <c r="Y16" s="5"/>
      <c r="Z16" s="5" t="s">
        <v>127</v>
      </c>
      <c r="AA16" s="3" t="s">
        <v>134</v>
      </c>
      <c r="AB16" s="5" t="s">
        <v>98</v>
      </c>
      <c r="AC16" s="3"/>
      <c r="AD16" s="5" t="s">
        <v>194</v>
      </c>
      <c r="AE16" s="5" t="s">
        <v>127</v>
      </c>
      <c r="AF16" s="5"/>
      <c r="AG16" s="5" t="s">
        <v>177</v>
      </c>
      <c r="AH16" s="3" t="s">
        <v>170</v>
      </c>
      <c r="AI16" s="5" t="s">
        <v>98</v>
      </c>
      <c r="AJ16" s="3"/>
      <c r="AK16" s="5" t="s">
        <v>187</v>
      </c>
      <c r="AL16" s="5"/>
      <c r="AM16" s="5" t="s">
        <v>167</v>
      </c>
      <c r="AN16" s="3" t="s">
        <v>151</v>
      </c>
      <c r="AO16" s="5" t="s">
        <v>99</v>
      </c>
      <c r="AP16" s="3"/>
      <c r="AQ16" s="5" t="s">
        <v>137</v>
      </c>
      <c r="AR16" s="5" t="s">
        <v>139</v>
      </c>
      <c r="AS16" s="5"/>
      <c r="AT16" s="5" t="s">
        <v>171</v>
      </c>
      <c r="AU16" s="3" t="s">
        <v>178</v>
      </c>
      <c r="AV16" s="5" t="s">
        <v>100</v>
      </c>
      <c r="AW16" s="3"/>
      <c r="AX16" s="5" t="s">
        <v>139</v>
      </c>
      <c r="AY16" s="5" t="s">
        <v>144</v>
      </c>
      <c r="AZ16" s="5" t="s">
        <v>168</v>
      </c>
      <c r="BA16" s="5"/>
      <c r="BB16" s="5" t="s">
        <v>143</v>
      </c>
      <c r="BC16" s="3" t="s">
        <v>134</v>
      </c>
      <c r="BD16" s="5" t="s">
        <v>98</v>
      </c>
      <c r="BE16" s="3"/>
      <c r="BF16" s="7">
        <v>7.26</v>
      </c>
      <c r="BG16" s="7">
        <v>2.83</v>
      </c>
      <c r="BH16" s="7">
        <v>7.26</v>
      </c>
      <c r="BI16" s="3" t="s">
        <v>183</v>
      </c>
      <c r="BJ16" s="8">
        <v>24</v>
      </c>
      <c r="BK16" s="8">
        <v>24</v>
      </c>
      <c r="BL16" s="8"/>
      <c r="BM16" s="10">
        <f t="shared" si="0"/>
        <v>0</v>
      </c>
    </row>
    <row r="17" spans="1:65" ht="15.75" customHeight="1">
      <c r="A17" s="3" t="s">
        <v>197</v>
      </c>
      <c r="B17" s="3" t="s">
        <v>198</v>
      </c>
      <c r="C17" s="3" t="s">
        <v>126</v>
      </c>
      <c r="D17" s="4">
        <v>38194</v>
      </c>
      <c r="E17" s="5" t="s">
        <v>171</v>
      </c>
      <c r="F17" s="5" t="s">
        <v>171</v>
      </c>
      <c r="G17" s="5"/>
      <c r="H17" s="5" t="s">
        <v>180</v>
      </c>
      <c r="I17" s="3" t="s">
        <v>170</v>
      </c>
      <c r="J17" s="5" t="s">
        <v>98</v>
      </c>
      <c r="K17" s="3"/>
      <c r="L17" s="5" t="s">
        <v>131</v>
      </c>
      <c r="M17" s="5"/>
      <c r="N17" s="5" t="s">
        <v>131</v>
      </c>
      <c r="O17" s="3" t="s">
        <v>129</v>
      </c>
      <c r="P17" s="5" t="s">
        <v>99</v>
      </c>
      <c r="Q17" s="3"/>
      <c r="R17" s="5" t="s">
        <v>171</v>
      </c>
      <c r="S17" s="5"/>
      <c r="T17" s="5" t="s">
        <v>180</v>
      </c>
      <c r="U17" s="3" t="s">
        <v>170</v>
      </c>
      <c r="V17" s="5" t="s">
        <v>98</v>
      </c>
      <c r="W17" s="3"/>
      <c r="X17" s="5" t="s">
        <v>127</v>
      </c>
      <c r="Y17" s="5"/>
      <c r="Z17" s="5" t="s">
        <v>127</v>
      </c>
      <c r="AA17" s="3" t="s">
        <v>134</v>
      </c>
      <c r="AB17" s="5" t="s">
        <v>98</v>
      </c>
      <c r="AC17" s="3"/>
      <c r="AD17" s="5" t="s">
        <v>137</v>
      </c>
      <c r="AE17" s="5" t="s">
        <v>127</v>
      </c>
      <c r="AF17" s="5"/>
      <c r="AG17" s="5" t="s">
        <v>177</v>
      </c>
      <c r="AH17" s="3" t="s">
        <v>170</v>
      </c>
      <c r="AI17" s="5" t="s">
        <v>98</v>
      </c>
      <c r="AJ17" s="3"/>
      <c r="AK17" s="5" t="s">
        <v>139</v>
      </c>
      <c r="AL17" s="5"/>
      <c r="AM17" s="5" t="s">
        <v>193</v>
      </c>
      <c r="AN17" s="3" t="s">
        <v>129</v>
      </c>
      <c r="AO17" s="5" t="s">
        <v>99</v>
      </c>
      <c r="AP17" s="3"/>
      <c r="AQ17" s="5" t="s">
        <v>137</v>
      </c>
      <c r="AR17" s="5" t="s">
        <v>127</v>
      </c>
      <c r="AS17" s="5"/>
      <c r="AT17" s="5" t="s">
        <v>148</v>
      </c>
      <c r="AU17" s="3" t="s">
        <v>134</v>
      </c>
      <c r="AV17" s="5" t="s">
        <v>98</v>
      </c>
      <c r="AW17" s="3"/>
      <c r="AX17" s="5" t="s">
        <v>144</v>
      </c>
      <c r="AY17" s="5" t="s">
        <v>144</v>
      </c>
      <c r="AZ17" s="5" t="s">
        <v>139</v>
      </c>
      <c r="BA17" s="5"/>
      <c r="BB17" s="5" t="s">
        <v>177</v>
      </c>
      <c r="BC17" s="3" t="s">
        <v>170</v>
      </c>
      <c r="BD17" s="5" t="s">
        <v>98</v>
      </c>
      <c r="BE17" s="3"/>
      <c r="BF17" s="7">
        <v>7.7</v>
      </c>
      <c r="BG17" s="7">
        <v>2.75</v>
      </c>
      <c r="BH17" s="7">
        <v>7.7</v>
      </c>
      <c r="BI17" s="3" t="s">
        <v>183</v>
      </c>
      <c r="BJ17" s="8">
        <v>24</v>
      </c>
      <c r="BK17" s="8">
        <v>24</v>
      </c>
      <c r="BL17" s="8"/>
      <c r="BM17" s="10">
        <f t="shared" si="0"/>
        <v>0</v>
      </c>
    </row>
    <row r="18" spans="1:65" ht="15.75" customHeight="1">
      <c r="A18" s="3" t="s">
        <v>199</v>
      </c>
      <c r="B18" s="3" t="s">
        <v>200</v>
      </c>
      <c r="C18" s="3" t="s">
        <v>126</v>
      </c>
      <c r="D18" s="4">
        <v>37996</v>
      </c>
      <c r="E18" s="5" t="s">
        <v>171</v>
      </c>
      <c r="F18" s="5" t="s">
        <v>171</v>
      </c>
      <c r="G18" s="5"/>
      <c r="H18" s="5" t="s">
        <v>171</v>
      </c>
      <c r="I18" s="3" t="s">
        <v>178</v>
      </c>
      <c r="J18" s="5" t="s">
        <v>100</v>
      </c>
      <c r="K18" s="3"/>
      <c r="L18" s="5" t="s">
        <v>149</v>
      </c>
      <c r="M18" s="5"/>
      <c r="N18" s="5" t="s">
        <v>150</v>
      </c>
      <c r="O18" s="3" t="s">
        <v>151</v>
      </c>
      <c r="P18" s="5" t="s">
        <v>99</v>
      </c>
      <c r="Q18" s="3"/>
      <c r="R18" s="5" t="s">
        <v>131</v>
      </c>
      <c r="S18" s="5"/>
      <c r="T18" s="5" t="s">
        <v>140</v>
      </c>
      <c r="U18" s="3" t="s">
        <v>129</v>
      </c>
      <c r="V18" s="5" t="s">
        <v>99</v>
      </c>
      <c r="W18" s="3"/>
      <c r="X18" s="5" t="s">
        <v>152</v>
      </c>
      <c r="Y18" s="5"/>
      <c r="Z18" s="5" t="s">
        <v>153</v>
      </c>
      <c r="AA18" s="6" t="s">
        <v>154</v>
      </c>
      <c r="AB18" s="5" t="s">
        <v>152</v>
      </c>
      <c r="AC18" s="3"/>
      <c r="AD18" s="5" t="s">
        <v>137</v>
      </c>
      <c r="AE18" s="5" t="s">
        <v>127</v>
      </c>
      <c r="AF18" s="5"/>
      <c r="AG18" s="5" t="s">
        <v>157</v>
      </c>
      <c r="AH18" s="3" t="s">
        <v>134</v>
      </c>
      <c r="AI18" s="5" t="s">
        <v>98</v>
      </c>
      <c r="AJ18" s="3"/>
      <c r="AK18" s="5" t="s">
        <v>87</v>
      </c>
      <c r="AL18" s="5"/>
      <c r="AM18" s="5" t="s">
        <v>201</v>
      </c>
      <c r="AN18" s="6" t="s">
        <v>154</v>
      </c>
      <c r="AO18" s="5" t="s">
        <v>136</v>
      </c>
      <c r="AP18" s="3"/>
      <c r="AQ18" s="5" t="s">
        <v>137</v>
      </c>
      <c r="AR18" s="5" t="s">
        <v>139</v>
      </c>
      <c r="AS18" s="5"/>
      <c r="AT18" s="5" t="s">
        <v>157</v>
      </c>
      <c r="AU18" s="3" t="s">
        <v>134</v>
      </c>
      <c r="AV18" s="5" t="s">
        <v>98</v>
      </c>
      <c r="AW18" s="3"/>
      <c r="AX18" s="5" t="s">
        <v>128</v>
      </c>
      <c r="AY18" s="5" t="s">
        <v>141</v>
      </c>
      <c r="AZ18" s="5" t="s">
        <v>156</v>
      </c>
      <c r="BA18" s="5"/>
      <c r="BB18" s="5" t="s">
        <v>127</v>
      </c>
      <c r="BC18" s="3" t="s">
        <v>134</v>
      </c>
      <c r="BD18" s="5" t="s">
        <v>98</v>
      </c>
      <c r="BE18" s="3"/>
      <c r="BF18" s="7">
        <v>5.96</v>
      </c>
      <c r="BG18" s="7">
        <v>2.83</v>
      </c>
      <c r="BH18" s="7">
        <v>5.96</v>
      </c>
      <c r="BI18" s="3" t="s">
        <v>202</v>
      </c>
      <c r="BJ18" s="8">
        <v>18</v>
      </c>
      <c r="BK18" s="8">
        <v>24</v>
      </c>
      <c r="BL18" s="8">
        <v>2</v>
      </c>
      <c r="BM18" s="10">
        <f t="shared" si="0"/>
        <v>6</v>
      </c>
    </row>
    <row r="19" spans="1:65" ht="15.75" customHeight="1">
      <c r="A19" s="3" t="s">
        <v>203</v>
      </c>
      <c r="B19" s="3" t="s">
        <v>204</v>
      </c>
      <c r="C19" s="3" t="s">
        <v>126</v>
      </c>
      <c r="D19" s="4">
        <v>37583</v>
      </c>
      <c r="E19" s="5" t="s">
        <v>139</v>
      </c>
      <c r="F19" s="5" t="s">
        <v>139</v>
      </c>
      <c r="G19" s="5"/>
      <c r="H19" s="5" t="s">
        <v>138</v>
      </c>
      <c r="I19" s="3" t="s">
        <v>134</v>
      </c>
      <c r="J19" s="5" t="s">
        <v>98</v>
      </c>
      <c r="K19" s="3"/>
      <c r="L19" s="5" t="s">
        <v>179</v>
      </c>
      <c r="M19" s="5"/>
      <c r="N19" s="5" t="s">
        <v>174</v>
      </c>
      <c r="O19" s="3" t="s">
        <v>170</v>
      </c>
      <c r="P19" s="5" t="s">
        <v>98</v>
      </c>
      <c r="Q19" s="3"/>
      <c r="R19" s="5" t="s">
        <v>148</v>
      </c>
      <c r="S19" s="5"/>
      <c r="T19" s="5" t="s">
        <v>157</v>
      </c>
      <c r="U19" s="3" t="s">
        <v>134</v>
      </c>
      <c r="V19" s="5" t="s">
        <v>98</v>
      </c>
      <c r="W19" s="3"/>
      <c r="X19" s="5" t="s">
        <v>141</v>
      </c>
      <c r="Y19" s="5"/>
      <c r="Z19" s="5" t="s">
        <v>141</v>
      </c>
      <c r="AA19" s="3" t="s">
        <v>176</v>
      </c>
      <c r="AB19" s="5" t="s">
        <v>100</v>
      </c>
      <c r="AC19" s="3"/>
      <c r="AD19" s="5" t="s">
        <v>194</v>
      </c>
      <c r="AE19" s="5" t="s">
        <v>139</v>
      </c>
      <c r="AF19" s="5"/>
      <c r="AG19" s="5" t="s">
        <v>174</v>
      </c>
      <c r="AH19" s="3" t="s">
        <v>170</v>
      </c>
      <c r="AI19" s="5" t="s">
        <v>98</v>
      </c>
      <c r="AJ19" s="3"/>
      <c r="AK19" s="5" t="s">
        <v>171</v>
      </c>
      <c r="AL19" s="5"/>
      <c r="AM19" s="5" t="s">
        <v>205</v>
      </c>
      <c r="AN19" s="3" t="s">
        <v>178</v>
      </c>
      <c r="AO19" s="5" t="s">
        <v>100</v>
      </c>
      <c r="AP19" s="3"/>
      <c r="AQ19" s="5" t="s">
        <v>137</v>
      </c>
      <c r="AR19" s="5" t="s">
        <v>141</v>
      </c>
      <c r="AS19" s="5"/>
      <c r="AT19" s="5" t="s">
        <v>141</v>
      </c>
      <c r="AU19" s="3" t="s">
        <v>176</v>
      </c>
      <c r="AV19" s="5" t="s">
        <v>100</v>
      </c>
      <c r="AW19" s="3"/>
      <c r="AX19" s="5" t="s">
        <v>127</v>
      </c>
      <c r="AY19" s="5" t="s">
        <v>144</v>
      </c>
      <c r="AZ19" s="5" t="s">
        <v>158</v>
      </c>
      <c r="BA19" s="5"/>
      <c r="BB19" s="5" t="s">
        <v>177</v>
      </c>
      <c r="BC19" s="3" t="s">
        <v>170</v>
      </c>
      <c r="BD19" s="5" t="s">
        <v>98</v>
      </c>
      <c r="BE19" s="3"/>
      <c r="BF19" s="7">
        <v>8.35</v>
      </c>
      <c r="BG19" s="7">
        <v>3.33</v>
      </c>
      <c r="BH19" s="7">
        <v>8.35</v>
      </c>
      <c r="BI19" s="3" t="s">
        <v>181</v>
      </c>
      <c r="BJ19" s="8">
        <v>24</v>
      </c>
      <c r="BK19" s="8">
        <v>24</v>
      </c>
      <c r="BL19" s="8"/>
      <c r="BM19" s="10">
        <f t="shared" si="0"/>
        <v>0</v>
      </c>
    </row>
    <row r="20" spans="1:65" ht="15.75" customHeight="1">
      <c r="A20" s="3" t="s">
        <v>206</v>
      </c>
      <c r="B20" s="3" t="s">
        <v>207</v>
      </c>
      <c r="C20" s="3" t="s">
        <v>126</v>
      </c>
      <c r="D20" s="4">
        <v>38043</v>
      </c>
      <c r="E20" s="5" t="s">
        <v>127</v>
      </c>
      <c r="F20" s="5" t="s">
        <v>139</v>
      </c>
      <c r="G20" s="5"/>
      <c r="H20" s="5" t="s">
        <v>138</v>
      </c>
      <c r="I20" s="3" t="s">
        <v>134</v>
      </c>
      <c r="J20" s="5" t="s">
        <v>98</v>
      </c>
      <c r="K20" s="3"/>
      <c r="L20" s="5" t="s">
        <v>142</v>
      </c>
      <c r="M20" s="5"/>
      <c r="N20" s="5" t="s">
        <v>186</v>
      </c>
      <c r="O20" s="3" t="s">
        <v>134</v>
      </c>
      <c r="P20" s="5" t="s">
        <v>98</v>
      </c>
      <c r="Q20" s="3"/>
      <c r="R20" s="5" t="s">
        <v>143</v>
      </c>
      <c r="S20" s="5"/>
      <c r="T20" s="5" t="s">
        <v>127</v>
      </c>
      <c r="U20" s="3" t="s">
        <v>134</v>
      </c>
      <c r="V20" s="5" t="s">
        <v>98</v>
      </c>
      <c r="W20" s="3"/>
      <c r="X20" s="5" t="s">
        <v>128</v>
      </c>
      <c r="Y20" s="5"/>
      <c r="Z20" s="5" t="s">
        <v>128</v>
      </c>
      <c r="AA20" s="3" t="s">
        <v>129</v>
      </c>
      <c r="AB20" s="5" t="s">
        <v>99</v>
      </c>
      <c r="AC20" s="3"/>
      <c r="AD20" s="5" t="s">
        <v>137</v>
      </c>
      <c r="AE20" s="5" t="s">
        <v>127</v>
      </c>
      <c r="AF20" s="5"/>
      <c r="AG20" s="5" t="s">
        <v>169</v>
      </c>
      <c r="AH20" s="3" t="s">
        <v>170</v>
      </c>
      <c r="AI20" s="5" t="s">
        <v>98</v>
      </c>
      <c r="AJ20" s="3"/>
      <c r="AK20" s="5" t="s">
        <v>127</v>
      </c>
      <c r="AL20" s="5"/>
      <c r="AM20" s="5" t="s">
        <v>140</v>
      </c>
      <c r="AN20" s="3" t="s">
        <v>129</v>
      </c>
      <c r="AO20" s="5" t="s">
        <v>99</v>
      </c>
      <c r="AP20" s="3"/>
      <c r="AQ20" s="5" t="s">
        <v>137</v>
      </c>
      <c r="AR20" s="5" t="s">
        <v>139</v>
      </c>
      <c r="AS20" s="5"/>
      <c r="AT20" s="5" t="s">
        <v>148</v>
      </c>
      <c r="AU20" s="3" t="s">
        <v>134</v>
      </c>
      <c r="AV20" s="5" t="s">
        <v>98</v>
      </c>
      <c r="AW20" s="3"/>
      <c r="AX20" s="5" t="s">
        <v>143</v>
      </c>
      <c r="AY20" s="5" t="s">
        <v>139</v>
      </c>
      <c r="AZ20" s="5" t="s">
        <v>193</v>
      </c>
      <c r="BA20" s="5"/>
      <c r="BB20" s="5" t="s">
        <v>139</v>
      </c>
      <c r="BC20" s="3" t="s">
        <v>170</v>
      </c>
      <c r="BD20" s="5" t="s">
        <v>98</v>
      </c>
      <c r="BE20" s="3"/>
      <c r="BF20" s="7">
        <v>7.27</v>
      </c>
      <c r="BG20" s="7">
        <v>2.75</v>
      </c>
      <c r="BH20" s="7">
        <v>7.27</v>
      </c>
      <c r="BI20" s="3" t="s">
        <v>183</v>
      </c>
      <c r="BJ20" s="8">
        <v>24</v>
      </c>
      <c r="BK20" s="8">
        <v>24</v>
      </c>
      <c r="BL20" s="8"/>
      <c r="BM20" s="10">
        <f t="shared" si="0"/>
        <v>0</v>
      </c>
    </row>
    <row r="21" spans="1:65" ht="15.75" customHeight="1">
      <c r="A21" s="3" t="s">
        <v>208</v>
      </c>
      <c r="B21" s="3" t="s">
        <v>209</v>
      </c>
      <c r="C21" s="3" t="s">
        <v>126</v>
      </c>
      <c r="D21" s="4">
        <v>38318</v>
      </c>
      <c r="E21" s="5" t="s">
        <v>128</v>
      </c>
      <c r="F21" s="5" t="s">
        <v>128</v>
      </c>
      <c r="G21" s="5"/>
      <c r="H21" s="5" t="s">
        <v>165</v>
      </c>
      <c r="I21" s="3" t="s">
        <v>151</v>
      </c>
      <c r="J21" s="5" t="s">
        <v>99</v>
      </c>
      <c r="K21" s="3"/>
      <c r="L21" s="5" t="s">
        <v>187</v>
      </c>
      <c r="M21" s="5"/>
      <c r="N21" s="5" t="s">
        <v>167</v>
      </c>
      <c r="O21" s="3" t="s">
        <v>151</v>
      </c>
      <c r="P21" s="5" t="s">
        <v>99</v>
      </c>
      <c r="Q21" s="3"/>
      <c r="R21" s="5" t="s">
        <v>140</v>
      </c>
      <c r="S21" s="5"/>
      <c r="T21" s="5" t="s">
        <v>128</v>
      </c>
      <c r="U21" s="3" t="s">
        <v>129</v>
      </c>
      <c r="V21" s="5" t="s">
        <v>99</v>
      </c>
      <c r="W21" s="3"/>
      <c r="X21" s="5" t="s">
        <v>87</v>
      </c>
      <c r="Y21" s="5"/>
      <c r="Z21" s="5" t="s">
        <v>87</v>
      </c>
      <c r="AA21" s="3" t="s">
        <v>135</v>
      </c>
      <c r="AB21" s="5" t="s">
        <v>136</v>
      </c>
      <c r="AC21" s="3"/>
      <c r="AD21" s="5" t="s">
        <v>137</v>
      </c>
      <c r="AE21" s="5" t="s">
        <v>127</v>
      </c>
      <c r="AF21" s="5"/>
      <c r="AG21" s="5" t="s">
        <v>186</v>
      </c>
      <c r="AH21" s="3" t="s">
        <v>134</v>
      </c>
      <c r="AI21" s="5" t="s">
        <v>98</v>
      </c>
      <c r="AJ21" s="3"/>
      <c r="AK21" s="5" t="s">
        <v>127</v>
      </c>
      <c r="AL21" s="5"/>
      <c r="AM21" s="5" t="s">
        <v>180</v>
      </c>
      <c r="AN21" s="3" t="s">
        <v>170</v>
      </c>
      <c r="AO21" s="5" t="s">
        <v>98</v>
      </c>
      <c r="AP21" s="3"/>
      <c r="AQ21" s="5" t="s">
        <v>137</v>
      </c>
      <c r="AR21" s="5" t="s">
        <v>139</v>
      </c>
      <c r="AS21" s="5"/>
      <c r="AT21" s="5" t="s">
        <v>156</v>
      </c>
      <c r="AU21" s="3" t="s">
        <v>134</v>
      </c>
      <c r="AV21" s="5" t="s">
        <v>98</v>
      </c>
      <c r="AW21" s="3"/>
      <c r="AX21" s="5" t="s">
        <v>144</v>
      </c>
      <c r="AY21" s="5" t="s">
        <v>144</v>
      </c>
      <c r="AZ21" s="5" t="s">
        <v>156</v>
      </c>
      <c r="BA21" s="5"/>
      <c r="BB21" s="5" t="s">
        <v>143</v>
      </c>
      <c r="BC21" s="3" t="s">
        <v>134</v>
      </c>
      <c r="BD21" s="5" t="s">
        <v>98</v>
      </c>
      <c r="BE21" s="3"/>
      <c r="BF21" s="7">
        <v>6.6</v>
      </c>
      <c r="BG21" s="7">
        <v>2.38</v>
      </c>
      <c r="BH21" s="7">
        <v>6.6</v>
      </c>
      <c r="BI21" s="3" t="s">
        <v>145</v>
      </c>
      <c r="BJ21" s="8">
        <v>24</v>
      </c>
      <c r="BK21" s="8">
        <v>24</v>
      </c>
      <c r="BL21" s="8"/>
      <c r="BM21" s="10">
        <f t="shared" si="0"/>
        <v>0</v>
      </c>
    </row>
    <row r="22" spans="1:65" ht="15.75" customHeight="1">
      <c r="A22" s="3" t="s">
        <v>210</v>
      </c>
      <c r="B22" s="3" t="s">
        <v>211</v>
      </c>
      <c r="C22" s="3" t="s">
        <v>126</v>
      </c>
      <c r="D22" s="4">
        <v>38047</v>
      </c>
      <c r="E22" s="5" t="s">
        <v>139</v>
      </c>
      <c r="F22" s="5" t="s">
        <v>139</v>
      </c>
      <c r="G22" s="5"/>
      <c r="H22" s="5" t="s">
        <v>148</v>
      </c>
      <c r="I22" s="3" t="s">
        <v>134</v>
      </c>
      <c r="J22" s="5" t="s">
        <v>98</v>
      </c>
      <c r="K22" s="3"/>
      <c r="L22" s="5" t="s">
        <v>168</v>
      </c>
      <c r="M22" s="5"/>
      <c r="N22" s="5" t="s">
        <v>133</v>
      </c>
      <c r="O22" s="3" t="s">
        <v>134</v>
      </c>
      <c r="P22" s="5" t="s">
        <v>98</v>
      </c>
      <c r="Q22" s="3"/>
      <c r="R22" s="5" t="s">
        <v>143</v>
      </c>
      <c r="S22" s="5"/>
      <c r="T22" s="5" t="s">
        <v>143</v>
      </c>
      <c r="U22" s="3" t="s">
        <v>134</v>
      </c>
      <c r="V22" s="5" t="s">
        <v>98</v>
      </c>
      <c r="W22" s="3"/>
      <c r="X22" s="5" t="s">
        <v>128</v>
      </c>
      <c r="Y22" s="5"/>
      <c r="Z22" s="5" t="s">
        <v>128</v>
      </c>
      <c r="AA22" s="3" t="s">
        <v>129</v>
      </c>
      <c r="AB22" s="5" t="s">
        <v>99</v>
      </c>
      <c r="AC22" s="3"/>
      <c r="AD22" s="5" t="s">
        <v>137</v>
      </c>
      <c r="AE22" s="5" t="s">
        <v>127</v>
      </c>
      <c r="AF22" s="5"/>
      <c r="AG22" s="5" t="s">
        <v>169</v>
      </c>
      <c r="AH22" s="3" t="s">
        <v>170</v>
      </c>
      <c r="AI22" s="5" t="s">
        <v>98</v>
      </c>
      <c r="AJ22" s="3"/>
      <c r="AK22" s="5" t="s">
        <v>149</v>
      </c>
      <c r="AL22" s="5"/>
      <c r="AM22" s="5" t="s">
        <v>127</v>
      </c>
      <c r="AN22" s="3" t="s">
        <v>134</v>
      </c>
      <c r="AO22" s="5" t="s">
        <v>98</v>
      </c>
      <c r="AP22" s="3"/>
      <c r="AQ22" s="5" t="s">
        <v>137</v>
      </c>
      <c r="AR22" s="5" t="s">
        <v>139</v>
      </c>
      <c r="AS22" s="5"/>
      <c r="AT22" s="5" t="s">
        <v>180</v>
      </c>
      <c r="AU22" s="3" t="s">
        <v>170</v>
      </c>
      <c r="AV22" s="5" t="s">
        <v>98</v>
      </c>
      <c r="AW22" s="3"/>
      <c r="AX22" s="5" t="s">
        <v>143</v>
      </c>
      <c r="AY22" s="5" t="s">
        <v>144</v>
      </c>
      <c r="AZ22" s="5" t="s">
        <v>158</v>
      </c>
      <c r="BA22" s="5"/>
      <c r="BB22" s="5" t="s">
        <v>133</v>
      </c>
      <c r="BC22" s="3" t="s">
        <v>134</v>
      </c>
      <c r="BD22" s="5" t="s">
        <v>98</v>
      </c>
      <c r="BE22" s="3"/>
      <c r="BF22" s="7">
        <v>7.31</v>
      </c>
      <c r="BG22" s="7">
        <v>2.88</v>
      </c>
      <c r="BH22" s="7">
        <v>7.31</v>
      </c>
      <c r="BI22" s="3" t="s">
        <v>183</v>
      </c>
      <c r="BJ22" s="8">
        <v>24</v>
      </c>
      <c r="BK22" s="8">
        <v>24</v>
      </c>
      <c r="BL22" s="8"/>
      <c r="BM22" s="10">
        <f t="shared" si="0"/>
        <v>0</v>
      </c>
    </row>
    <row r="23" spans="1:65" ht="15.75" customHeight="1">
      <c r="A23" s="3" t="s">
        <v>212</v>
      </c>
      <c r="B23" s="3" t="s">
        <v>213</v>
      </c>
      <c r="C23" s="3" t="s">
        <v>126</v>
      </c>
      <c r="D23" s="4">
        <v>38194</v>
      </c>
      <c r="E23" s="5" t="s">
        <v>127</v>
      </c>
      <c r="F23" s="5" t="s">
        <v>139</v>
      </c>
      <c r="G23" s="5"/>
      <c r="H23" s="5" t="s">
        <v>127</v>
      </c>
      <c r="I23" s="3" t="s">
        <v>134</v>
      </c>
      <c r="J23" s="5" t="s">
        <v>98</v>
      </c>
      <c r="K23" s="3"/>
      <c r="L23" s="5" t="s">
        <v>205</v>
      </c>
      <c r="M23" s="5"/>
      <c r="N23" s="5" t="s">
        <v>174</v>
      </c>
      <c r="O23" s="3" t="s">
        <v>170</v>
      </c>
      <c r="P23" s="5" t="s">
        <v>98</v>
      </c>
      <c r="Q23" s="3"/>
      <c r="R23" s="5" t="s">
        <v>139</v>
      </c>
      <c r="S23" s="5"/>
      <c r="T23" s="5" t="s">
        <v>143</v>
      </c>
      <c r="U23" s="3" t="s">
        <v>134</v>
      </c>
      <c r="V23" s="5" t="s">
        <v>98</v>
      </c>
      <c r="W23" s="3"/>
      <c r="X23" s="5" t="s">
        <v>127</v>
      </c>
      <c r="Y23" s="5"/>
      <c r="Z23" s="5" t="s">
        <v>193</v>
      </c>
      <c r="AA23" s="3" t="s">
        <v>129</v>
      </c>
      <c r="AB23" s="5" t="s">
        <v>99</v>
      </c>
      <c r="AC23" s="3"/>
      <c r="AD23" s="5" t="s">
        <v>137</v>
      </c>
      <c r="AE23" s="5" t="s">
        <v>127</v>
      </c>
      <c r="AF23" s="5"/>
      <c r="AG23" s="5" t="s">
        <v>131</v>
      </c>
      <c r="AH23" s="3" t="s">
        <v>129</v>
      </c>
      <c r="AI23" s="5" t="s">
        <v>99</v>
      </c>
      <c r="AJ23" s="3"/>
      <c r="AK23" s="5" t="s">
        <v>140</v>
      </c>
      <c r="AL23" s="5"/>
      <c r="AM23" s="5" t="s">
        <v>139</v>
      </c>
      <c r="AN23" s="3" t="s">
        <v>170</v>
      </c>
      <c r="AO23" s="5" t="s">
        <v>98</v>
      </c>
      <c r="AP23" s="3"/>
      <c r="AQ23" s="5" t="s">
        <v>137</v>
      </c>
      <c r="AR23" s="5" t="s">
        <v>139</v>
      </c>
      <c r="AS23" s="5"/>
      <c r="AT23" s="5" t="s">
        <v>168</v>
      </c>
      <c r="AU23" s="3" t="s">
        <v>134</v>
      </c>
      <c r="AV23" s="5" t="s">
        <v>98</v>
      </c>
      <c r="AW23" s="3"/>
      <c r="AX23" s="5" t="s">
        <v>144</v>
      </c>
      <c r="AY23" s="5" t="s">
        <v>141</v>
      </c>
      <c r="AZ23" s="5" t="s">
        <v>193</v>
      </c>
      <c r="BA23" s="5"/>
      <c r="BB23" s="5" t="s">
        <v>156</v>
      </c>
      <c r="BC23" s="3" t="s">
        <v>134</v>
      </c>
      <c r="BD23" s="5" t="s">
        <v>98</v>
      </c>
      <c r="BE23" s="3"/>
      <c r="BF23" s="7">
        <v>7.41</v>
      </c>
      <c r="BG23" s="7">
        <v>2.75</v>
      </c>
      <c r="BH23" s="7">
        <v>7.41</v>
      </c>
      <c r="BI23" s="3" t="s">
        <v>183</v>
      </c>
      <c r="BJ23" s="8">
        <v>24</v>
      </c>
      <c r="BK23" s="8">
        <v>24</v>
      </c>
      <c r="BL23" s="8"/>
      <c r="BM23" s="10">
        <f t="shared" si="0"/>
        <v>0</v>
      </c>
    </row>
    <row r="24" spans="1:65" ht="15.75" customHeight="1">
      <c r="A24" s="3" t="s">
        <v>214</v>
      </c>
      <c r="B24" s="3" t="s">
        <v>215</v>
      </c>
      <c r="C24" s="3" t="s">
        <v>126</v>
      </c>
      <c r="D24" s="4">
        <v>37987</v>
      </c>
      <c r="E24" s="5" t="s">
        <v>139</v>
      </c>
      <c r="F24" s="5" t="s">
        <v>87</v>
      </c>
      <c r="G24" s="5"/>
      <c r="H24" s="5" t="s">
        <v>127</v>
      </c>
      <c r="I24" s="3" t="s">
        <v>134</v>
      </c>
      <c r="J24" s="5" t="s">
        <v>98</v>
      </c>
      <c r="K24" s="3"/>
      <c r="L24" s="5" t="s">
        <v>157</v>
      </c>
      <c r="M24" s="5"/>
      <c r="N24" s="5" t="s">
        <v>157</v>
      </c>
      <c r="O24" s="3" t="s">
        <v>134</v>
      </c>
      <c r="P24" s="5" t="s">
        <v>98</v>
      </c>
      <c r="Q24" s="3"/>
      <c r="R24" s="5" t="s">
        <v>216</v>
      </c>
      <c r="S24" s="5"/>
      <c r="T24" s="5" t="s">
        <v>180</v>
      </c>
      <c r="U24" s="3" t="s">
        <v>170</v>
      </c>
      <c r="V24" s="5" t="s">
        <v>98</v>
      </c>
      <c r="W24" s="3"/>
      <c r="X24" s="5" t="s">
        <v>143</v>
      </c>
      <c r="Y24" s="5"/>
      <c r="Z24" s="5" t="s">
        <v>143</v>
      </c>
      <c r="AA24" s="3" t="s">
        <v>134</v>
      </c>
      <c r="AB24" s="5" t="s">
        <v>98</v>
      </c>
      <c r="AC24" s="3"/>
      <c r="AD24" s="5" t="s">
        <v>137</v>
      </c>
      <c r="AE24" s="5" t="s">
        <v>128</v>
      </c>
      <c r="AF24" s="5"/>
      <c r="AG24" s="5" t="s">
        <v>139</v>
      </c>
      <c r="AH24" s="3" t="s">
        <v>170</v>
      </c>
      <c r="AI24" s="5" t="s">
        <v>98</v>
      </c>
      <c r="AJ24" s="3"/>
      <c r="AK24" s="5" t="s">
        <v>143</v>
      </c>
      <c r="AL24" s="5"/>
      <c r="AM24" s="5" t="s">
        <v>138</v>
      </c>
      <c r="AN24" s="3" t="s">
        <v>134</v>
      </c>
      <c r="AO24" s="5" t="s">
        <v>98</v>
      </c>
      <c r="AP24" s="3"/>
      <c r="AQ24" s="5" t="s">
        <v>137</v>
      </c>
      <c r="AR24" s="5" t="s">
        <v>139</v>
      </c>
      <c r="AS24" s="5"/>
      <c r="AT24" s="5" t="s">
        <v>157</v>
      </c>
      <c r="AU24" s="3" t="s">
        <v>134</v>
      </c>
      <c r="AV24" s="5" t="s">
        <v>98</v>
      </c>
      <c r="AW24" s="3"/>
      <c r="AX24" s="5" t="s">
        <v>127</v>
      </c>
      <c r="AY24" s="5" t="s">
        <v>141</v>
      </c>
      <c r="AZ24" s="5" t="s">
        <v>156</v>
      </c>
      <c r="BA24" s="5"/>
      <c r="BB24" s="5" t="s">
        <v>138</v>
      </c>
      <c r="BC24" s="3" t="s">
        <v>134</v>
      </c>
      <c r="BD24" s="5" t="s">
        <v>98</v>
      </c>
      <c r="BE24" s="3"/>
      <c r="BF24" s="7">
        <v>7.63</v>
      </c>
      <c r="BG24" s="7">
        <v>3</v>
      </c>
      <c r="BH24" s="7">
        <v>7.63</v>
      </c>
      <c r="BI24" s="3" t="s">
        <v>183</v>
      </c>
      <c r="BJ24" s="8">
        <v>24</v>
      </c>
      <c r="BK24" s="8">
        <v>24</v>
      </c>
      <c r="BL24" s="8"/>
      <c r="BM24" s="10">
        <f t="shared" si="0"/>
        <v>0</v>
      </c>
    </row>
    <row r="25" spans="1:65" ht="15.75" customHeight="1">
      <c r="A25" s="3" t="s">
        <v>217</v>
      </c>
      <c r="B25" s="3" t="s">
        <v>218</v>
      </c>
      <c r="C25" s="3" t="s">
        <v>126</v>
      </c>
      <c r="D25" s="4">
        <v>38005</v>
      </c>
      <c r="E25" s="5" t="s">
        <v>143</v>
      </c>
      <c r="F25" s="5" t="s">
        <v>143</v>
      </c>
      <c r="G25" s="5"/>
      <c r="H25" s="5" t="s">
        <v>138</v>
      </c>
      <c r="I25" s="3" t="s">
        <v>134</v>
      </c>
      <c r="J25" s="5" t="s">
        <v>98</v>
      </c>
      <c r="K25" s="3"/>
      <c r="L25" s="5" t="s">
        <v>193</v>
      </c>
      <c r="M25" s="5"/>
      <c r="N25" s="5" t="s">
        <v>158</v>
      </c>
      <c r="O25" s="3" t="s">
        <v>129</v>
      </c>
      <c r="P25" s="5" t="s">
        <v>99</v>
      </c>
      <c r="Q25" s="3"/>
      <c r="R25" s="5" t="s">
        <v>156</v>
      </c>
      <c r="S25" s="5"/>
      <c r="T25" s="5" t="s">
        <v>158</v>
      </c>
      <c r="U25" s="3" t="s">
        <v>129</v>
      </c>
      <c r="V25" s="5" t="s">
        <v>99</v>
      </c>
      <c r="W25" s="3"/>
      <c r="X25" s="5" t="s">
        <v>128</v>
      </c>
      <c r="Y25" s="5"/>
      <c r="Z25" s="5" t="s">
        <v>167</v>
      </c>
      <c r="AA25" s="3" t="s">
        <v>151</v>
      </c>
      <c r="AB25" s="5" t="s">
        <v>99</v>
      </c>
      <c r="AC25" s="3"/>
      <c r="AD25" s="5" t="s">
        <v>194</v>
      </c>
      <c r="AE25" s="5" t="s">
        <v>127</v>
      </c>
      <c r="AF25" s="5"/>
      <c r="AG25" s="5" t="s">
        <v>169</v>
      </c>
      <c r="AH25" s="3" t="s">
        <v>170</v>
      </c>
      <c r="AI25" s="5" t="s">
        <v>98</v>
      </c>
      <c r="AJ25" s="3"/>
      <c r="AK25" s="5" t="s">
        <v>166</v>
      </c>
      <c r="AL25" s="5"/>
      <c r="AM25" s="5" t="s">
        <v>187</v>
      </c>
      <c r="AN25" s="3" t="s">
        <v>129</v>
      </c>
      <c r="AO25" s="5" t="s">
        <v>99</v>
      </c>
      <c r="AP25" s="3"/>
      <c r="AQ25" s="5" t="s">
        <v>141</v>
      </c>
      <c r="AR25" s="5" t="s">
        <v>139</v>
      </c>
      <c r="AS25" s="5"/>
      <c r="AT25" s="5" t="s">
        <v>142</v>
      </c>
      <c r="AU25" s="3" t="s">
        <v>134</v>
      </c>
      <c r="AV25" s="5" t="s">
        <v>98</v>
      </c>
      <c r="AW25" s="3"/>
      <c r="AX25" s="5" t="s">
        <v>171</v>
      </c>
      <c r="AY25" s="5" t="s">
        <v>139</v>
      </c>
      <c r="AZ25" s="5" t="s">
        <v>168</v>
      </c>
      <c r="BA25" s="5"/>
      <c r="BB25" s="5" t="s">
        <v>168</v>
      </c>
      <c r="BC25" s="3" t="s">
        <v>134</v>
      </c>
      <c r="BD25" s="5" t="s">
        <v>98</v>
      </c>
      <c r="BE25" s="3"/>
      <c r="BF25" s="7">
        <v>6.98</v>
      </c>
      <c r="BG25" s="7">
        <v>2.5</v>
      </c>
      <c r="BH25" s="7">
        <v>6.98</v>
      </c>
      <c r="BI25" s="3" t="s">
        <v>145</v>
      </c>
      <c r="BJ25" s="8">
        <v>24</v>
      </c>
      <c r="BK25" s="8">
        <v>24</v>
      </c>
      <c r="BL25" s="8"/>
      <c r="BM25" s="10">
        <f t="shared" si="0"/>
        <v>0</v>
      </c>
    </row>
    <row r="26" spans="1:65" ht="15.75" customHeight="1">
      <c r="A26" s="3" t="s">
        <v>219</v>
      </c>
      <c r="B26" s="3" t="s">
        <v>220</v>
      </c>
      <c r="C26" s="3" t="s">
        <v>126</v>
      </c>
      <c r="D26" s="4">
        <v>38181</v>
      </c>
      <c r="E26" s="5" t="s">
        <v>139</v>
      </c>
      <c r="F26" s="5" t="s">
        <v>139</v>
      </c>
      <c r="G26" s="5"/>
      <c r="H26" s="5" t="s">
        <v>148</v>
      </c>
      <c r="I26" s="3" t="s">
        <v>134</v>
      </c>
      <c r="J26" s="5" t="s">
        <v>98</v>
      </c>
      <c r="K26" s="3"/>
      <c r="L26" s="5" t="s">
        <v>187</v>
      </c>
      <c r="M26" s="5"/>
      <c r="N26" s="5" t="s">
        <v>187</v>
      </c>
      <c r="O26" s="3" t="s">
        <v>129</v>
      </c>
      <c r="P26" s="5" t="s">
        <v>99</v>
      </c>
      <c r="Q26" s="3"/>
      <c r="R26" s="5" t="s">
        <v>157</v>
      </c>
      <c r="S26" s="5"/>
      <c r="T26" s="5" t="s">
        <v>143</v>
      </c>
      <c r="U26" s="3" t="s">
        <v>134</v>
      </c>
      <c r="V26" s="5" t="s">
        <v>98</v>
      </c>
      <c r="W26" s="3"/>
      <c r="X26" s="5" t="s">
        <v>152</v>
      </c>
      <c r="Y26" s="5"/>
      <c r="Z26" s="5" t="s">
        <v>153</v>
      </c>
      <c r="AA26" s="6" t="s">
        <v>154</v>
      </c>
      <c r="AB26" s="5" t="s">
        <v>152</v>
      </c>
      <c r="AC26" s="3"/>
      <c r="AD26" s="5" t="s">
        <v>137</v>
      </c>
      <c r="AE26" s="5" t="s">
        <v>127</v>
      </c>
      <c r="AF26" s="5"/>
      <c r="AG26" s="5" t="s">
        <v>169</v>
      </c>
      <c r="AH26" s="3" t="s">
        <v>170</v>
      </c>
      <c r="AI26" s="5" t="s">
        <v>98</v>
      </c>
      <c r="AJ26" s="3"/>
      <c r="AK26" s="5" t="s">
        <v>127</v>
      </c>
      <c r="AL26" s="5"/>
      <c r="AM26" s="5" t="s">
        <v>221</v>
      </c>
      <c r="AN26" s="6" t="s">
        <v>154</v>
      </c>
      <c r="AO26" s="5" t="s">
        <v>136</v>
      </c>
      <c r="AP26" s="3"/>
      <c r="AQ26" s="5" t="s">
        <v>141</v>
      </c>
      <c r="AR26" s="5" t="s">
        <v>139</v>
      </c>
      <c r="AS26" s="5"/>
      <c r="AT26" s="5" t="s">
        <v>142</v>
      </c>
      <c r="AU26" s="3" t="s">
        <v>134</v>
      </c>
      <c r="AV26" s="5" t="s">
        <v>98</v>
      </c>
      <c r="AW26" s="3"/>
      <c r="AX26" s="5" t="s">
        <v>143</v>
      </c>
      <c r="AY26" s="5" t="s">
        <v>139</v>
      </c>
      <c r="AZ26" s="5" t="s">
        <v>158</v>
      </c>
      <c r="BA26" s="5"/>
      <c r="BB26" s="5" t="s">
        <v>133</v>
      </c>
      <c r="BC26" s="3" t="s">
        <v>134</v>
      </c>
      <c r="BD26" s="5" t="s">
        <v>98</v>
      </c>
      <c r="BE26" s="3"/>
      <c r="BF26" s="7">
        <v>6.25</v>
      </c>
      <c r="BG26" s="7">
        <v>2.83</v>
      </c>
      <c r="BH26" s="7">
        <v>6.25</v>
      </c>
      <c r="BI26" s="3" t="s">
        <v>145</v>
      </c>
      <c r="BJ26" s="8">
        <v>18</v>
      </c>
      <c r="BK26" s="8">
        <v>24</v>
      </c>
      <c r="BL26" s="8">
        <v>2</v>
      </c>
      <c r="BM26" s="10">
        <f t="shared" si="0"/>
        <v>6</v>
      </c>
    </row>
    <row r="27" spans="1:65" ht="15.75" customHeight="1">
      <c r="A27" s="3" t="s">
        <v>222</v>
      </c>
      <c r="B27" s="3" t="s">
        <v>223</v>
      </c>
      <c r="C27" s="3" t="s">
        <v>126</v>
      </c>
      <c r="D27" s="4">
        <v>38255</v>
      </c>
      <c r="E27" s="5" t="s">
        <v>171</v>
      </c>
      <c r="F27" s="5" t="s">
        <v>171</v>
      </c>
      <c r="G27" s="5"/>
      <c r="H27" s="5" t="s">
        <v>171</v>
      </c>
      <c r="I27" s="3" t="s">
        <v>178</v>
      </c>
      <c r="J27" s="5" t="s">
        <v>100</v>
      </c>
      <c r="K27" s="3"/>
      <c r="L27" s="5" t="s">
        <v>130</v>
      </c>
      <c r="M27" s="5"/>
      <c r="N27" s="5" t="s">
        <v>132</v>
      </c>
      <c r="O27" s="3" t="s">
        <v>129</v>
      </c>
      <c r="P27" s="5" t="s">
        <v>99</v>
      </c>
      <c r="Q27" s="3"/>
      <c r="R27" s="5" t="s">
        <v>139</v>
      </c>
      <c r="S27" s="5"/>
      <c r="T27" s="5" t="s">
        <v>193</v>
      </c>
      <c r="U27" s="3" t="s">
        <v>129</v>
      </c>
      <c r="V27" s="5" t="s">
        <v>99</v>
      </c>
      <c r="W27" s="3"/>
      <c r="X27" s="5" t="s">
        <v>127</v>
      </c>
      <c r="Y27" s="5"/>
      <c r="Z27" s="5" t="s">
        <v>127</v>
      </c>
      <c r="AA27" s="3" t="s">
        <v>134</v>
      </c>
      <c r="AB27" s="5" t="s">
        <v>98</v>
      </c>
      <c r="AC27" s="3"/>
      <c r="AD27" s="5" t="s">
        <v>194</v>
      </c>
      <c r="AE27" s="5" t="s">
        <v>128</v>
      </c>
      <c r="AF27" s="5"/>
      <c r="AG27" s="5" t="s">
        <v>139</v>
      </c>
      <c r="AH27" s="3" t="s">
        <v>170</v>
      </c>
      <c r="AI27" s="5" t="s">
        <v>98</v>
      </c>
      <c r="AJ27" s="3"/>
      <c r="AK27" s="5" t="s">
        <v>127</v>
      </c>
      <c r="AL27" s="5"/>
      <c r="AM27" s="5" t="s">
        <v>128</v>
      </c>
      <c r="AN27" s="3" t="s">
        <v>129</v>
      </c>
      <c r="AO27" s="5" t="s">
        <v>99</v>
      </c>
      <c r="AP27" s="3"/>
      <c r="AQ27" s="5" t="s">
        <v>137</v>
      </c>
      <c r="AR27" s="5" t="s">
        <v>139</v>
      </c>
      <c r="AS27" s="5"/>
      <c r="AT27" s="5" t="s">
        <v>177</v>
      </c>
      <c r="AU27" s="3" t="s">
        <v>170</v>
      </c>
      <c r="AV27" s="5" t="s">
        <v>98</v>
      </c>
      <c r="AW27" s="3"/>
      <c r="AX27" s="5" t="s">
        <v>144</v>
      </c>
      <c r="AY27" s="5" t="s">
        <v>141</v>
      </c>
      <c r="AZ27" s="5" t="s">
        <v>139</v>
      </c>
      <c r="BA27" s="5"/>
      <c r="BB27" s="5" t="s">
        <v>138</v>
      </c>
      <c r="BC27" s="3" t="s">
        <v>134</v>
      </c>
      <c r="BD27" s="5" t="s">
        <v>98</v>
      </c>
      <c r="BE27" s="3"/>
      <c r="BF27" s="7">
        <v>7.2</v>
      </c>
      <c r="BG27" s="7">
        <v>2.75</v>
      </c>
      <c r="BH27" s="7">
        <v>7.2</v>
      </c>
      <c r="BI27" s="3" t="s">
        <v>183</v>
      </c>
      <c r="BJ27" s="8">
        <v>24</v>
      </c>
      <c r="BK27" s="8">
        <v>24</v>
      </c>
      <c r="BL27" s="8"/>
      <c r="BM27" s="10">
        <f t="shared" si="0"/>
        <v>0</v>
      </c>
    </row>
    <row r="28" spans="1:65" ht="15.75" customHeight="1">
      <c r="A28" s="3" t="s">
        <v>224</v>
      </c>
      <c r="B28" s="3" t="s">
        <v>225</v>
      </c>
      <c r="C28" s="3" t="s">
        <v>126</v>
      </c>
      <c r="D28" s="4">
        <v>38098</v>
      </c>
      <c r="E28" s="5" t="s">
        <v>139</v>
      </c>
      <c r="F28" s="5" t="s">
        <v>139</v>
      </c>
      <c r="G28" s="5"/>
      <c r="H28" s="5" t="s">
        <v>143</v>
      </c>
      <c r="I28" s="3" t="s">
        <v>134</v>
      </c>
      <c r="J28" s="5" t="s">
        <v>98</v>
      </c>
      <c r="K28" s="3"/>
      <c r="L28" s="5" t="s">
        <v>166</v>
      </c>
      <c r="M28" s="5"/>
      <c r="N28" s="5" t="s">
        <v>127</v>
      </c>
      <c r="O28" s="3" t="s">
        <v>134</v>
      </c>
      <c r="P28" s="5" t="s">
        <v>98</v>
      </c>
      <c r="Q28" s="3"/>
      <c r="R28" s="5" t="s">
        <v>142</v>
      </c>
      <c r="S28" s="5"/>
      <c r="T28" s="5" t="s">
        <v>157</v>
      </c>
      <c r="U28" s="3" t="s">
        <v>134</v>
      </c>
      <c r="V28" s="5" t="s">
        <v>98</v>
      </c>
      <c r="W28" s="3"/>
      <c r="X28" s="5" t="s">
        <v>127</v>
      </c>
      <c r="Y28" s="5"/>
      <c r="Z28" s="5" t="s">
        <v>193</v>
      </c>
      <c r="AA28" s="3" t="s">
        <v>129</v>
      </c>
      <c r="AB28" s="5" t="s">
        <v>99</v>
      </c>
      <c r="AC28" s="3"/>
      <c r="AD28" s="5" t="s">
        <v>137</v>
      </c>
      <c r="AE28" s="5" t="s">
        <v>139</v>
      </c>
      <c r="AF28" s="5"/>
      <c r="AG28" s="5" t="s">
        <v>180</v>
      </c>
      <c r="AH28" s="3" t="s">
        <v>170</v>
      </c>
      <c r="AI28" s="5" t="s">
        <v>98</v>
      </c>
      <c r="AJ28" s="3"/>
      <c r="AK28" s="5" t="s">
        <v>133</v>
      </c>
      <c r="AL28" s="5"/>
      <c r="AM28" s="5" t="s">
        <v>132</v>
      </c>
      <c r="AN28" s="3" t="s">
        <v>129</v>
      </c>
      <c r="AO28" s="5" t="s">
        <v>99</v>
      </c>
      <c r="AP28" s="3"/>
      <c r="AQ28" s="5" t="s">
        <v>137</v>
      </c>
      <c r="AR28" s="5" t="s">
        <v>127</v>
      </c>
      <c r="AS28" s="5"/>
      <c r="AT28" s="5" t="s">
        <v>180</v>
      </c>
      <c r="AU28" s="3" t="s">
        <v>170</v>
      </c>
      <c r="AV28" s="5" t="s">
        <v>98</v>
      </c>
      <c r="AW28" s="3"/>
      <c r="AX28" s="5" t="s">
        <v>144</v>
      </c>
      <c r="AY28" s="5" t="s">
        <v>144</v>
      </c>
      <c r="AZ28" s="5" t="s">
        <v>168</v>
      </c>
      <c r="BA28" s="5"/>
      <c r="BB28" s="5" t="s">
        <v>157</v>
      </c>
      <c r="BC28" s="3" t="s">
        <v>134</v>
      </c>
      <c r="BD28" s="5" t="s">
        <v>98</v>
      </c>
      <c r="BE28" s="3"/>
      <c r="BF28" s="7">
        <v>7.46</v>
      </c>
      <c r="BG28" s="7">
        <v>2.75</v>
      </c>
      <c r="BH28" s="7">
        <v>7.46</v>
      </c>
      <c r="BI28" s="3" t="s">
        <v>183</v>
      </c>
      <c r="BJ28" s="8">
        <v>24</v>
      </c>
      <c r="BK28" s="8">
        <v>24</v>
      </c>
      <c r="BL28" s="8"/>
      <c r="BM28" s="10">
        <f t="shared" si="0"/>
        <v>0</v>
      </c>
    </row>
  </sheetData>
  <mergeCells count="24">
    <mergeCell ref="AD4:AJ4"/>
    <mergeCell ref="AK4:AP4"/>
    <mergeCell ref="AQ4:AW4"/>
    <mergeCell ref="AX4:BE4"/>
    <mergeCell ref="A5:D5"/>
    <mergeCell ref="E5:K5"/>
    <mergeCell ref="L5:Q5"/>
    <mergeCell ref="R5:W5"/>
    <mergeCell ref="X5:AC5"/>
    <mergeCell ref="AD5:AJ5"/>
    <mergeCell ref="AK5:AP5"/>
    <mergeCell ref="AQ5:AW5"/>
    <mergeCell ref="AX5:BE5"/>
    <mergeCell ref="A4:D4"/>
    <mergeCell ref="E4:K4"/>
    <mergeCell ref="L4:Q4"/>
    <mergeCell ref="R4:W4"/>
    <mergeCell ref="X4:AC4"/>
    <mergeCell ref="A1:BL1"/>
    <mergeCell ref="A2:D2"/>
    <mergeCell ref="E2:BE2"/>
    <mergeCell ref="A3:D3"/>
    <mergeCell ref="E3:BE3"/>
    <mergeCell ref="BF2:BL5"/>
  </mergeCells>
  <pageMargins left="1" right="1" top="1" bottom="1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2</vt:i4>
      </vt:variant>
    </vt:vector>
  </HeadingPairs>
  <TitlesOfParts>
    <vt:vector size="9" baseType="lpstr">
      <vt:lpstr>Mau THKQRL</vt:lpstr>
      <vt:lpstr>Điểm TC 1</vt:lpstr>
      <vt:lpstr>Điểm TC 2</vt:lpstr>
      <vt:lpstr>Điểm TC 3</vt:lpstr>
      <vt:lpstr>Điểm TC 4</vt:lpstr>
      <vt:lpstr>Điểm TC 5</vt:lpstr>
      <vt:lpstr>DTB</vt:lpstr>
      <vt:lpstr>'Mau THKQRL'!Print_Area</vt:lpstr>
      <vt:lpstr>'Mau THKQRL'!Print_Titles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Quốc Anh Nguyễn</cp:lastModifiedBy>
  <cp:lastPrinted>2022-03-03T03:46:00Z</cp:lastPrinted>
  <dcterms:created xsi:type="dcterms:W3CDTF">2002-06-05T14:57:00Z</dcterms:created>
  <dcterms:modified xsi:type="dcterms:W3CDTF">2026-06-04T14:58:01Z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09FD15D75D5E49AFB8BB594BF797050D_13</vt:lpwstr>
  </property>
  <property fmtid="{D5CDD505-2E9C-101B-9397-08002B2CF9AE}" pid="3" name="KSOProductBuildVer">
    <vt:lpwstr>1033-12.2.0.23196</vt:lpwstr>
  </property>
</Properties>
</file>