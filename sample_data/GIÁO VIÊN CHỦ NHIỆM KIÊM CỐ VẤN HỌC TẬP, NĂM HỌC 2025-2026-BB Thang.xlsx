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T2" sheetId="1" r:id="rId5"/>
    <sheet state="visible" name="T1" sheetId="2" r:id="rId6"/>
    <sheet state="visible" name="T12" sheetId="3" r:id="rId7"/>
    <sheet state="visible" name="T11" sheetId="4" r:id="rId8"/>
    <sheet state="visible" name="T10" sheetId="5" r:id="rId9"/>
    <sheet state="visible" name="T9" sheetId="6" r:id="rId10"/>
    <sheet state="hidden" name="T8" sheetId="7" r:id="rId11"/>
  </sheets>
  <definedNames/>
  <calcPr/>
</workbook>
</file>

<file path=xl/sharedStrings.xml><?xml version="1.0" encoding="utf-8"?>
<sst xmlns="http://schemas.openxmlformats.org/spreadsheetml/2006/main" count="2676" uniqueCount="280">
  <si>
    <t>TRƯỜNG ĐẠI HỌC SPKT HƯNG YÊN</t>
  </si>
  <si>
    <t>CỘNG HOÀ XÃ HỘI CHỦ NGHĨA VIỆT NAM</t>
  </si>
  <si>
    <t>KHOA CÔNG NGHỆ THÔNG TIN</t>
  </si>
  <si>
    <t>Độc lập - Tự do - Hạnh phúc</t>
  </si>
  <si>
    <t>TRIỂN KHAI CÔNG TÁC GIÁO VIÊN CHỦ NHIỆM 
KIÊM CỐ VẤN HỌC TẬP, NĂM HỌC 2025-2026</t>
  </si>
  <si>
    <t>Link này sẽ hỗ trợ cho việc quản lý CTGVCN hiệu quả, giảm thời gian liên quan đến báo cáo tháng và xây dựng biên bản họp lớp;
+ Hàng tháng các thầy cô LDK, BM, ĐTN, Giáo vụ khoa sẽ vào link này để cập nhật các thông tin cần triển khai tại hai cột C, D
+ Các GVCN sẽ cập nhật các thông tin ở cột Bôi vàng
+ Sau khi đã cập nhật xong dữ liệu thì vào phần Menu ở trên "Biên bản họp lớp" để tạo biên bản họp cho từng Lớp, và download về lưu trữ phục vụ Thanh tra;
+ Đầu hàng tháng (trước mồng 5); GVCN vào link và lần lượt copy các nội dung ứng với các cột S, T, U để báo cáo theo link của phòng CTSV</t>
  </si>
  <si>
    <t>Link báo cáo Tháng</t>
  </si>
  <si>
    <t>Link TT GVCN - Công việc định kỳ</t>
  </si>
  <si>
    <t>Nội dung cần triển khai trong tháng</t>
  </si>
  <si>
    <t>Khóa áp dụng</t>
  </si>
  <si>
    <t>Năm</t>
  </si>
  <si>
    <t>STT</t>
  </si>
  <si>
    <t>Mã cán bộ</t>
  </si>
  <si>
    <t>Họ và tên</t>
  </si>
  <si>
    <t>Số ĐT</t>
  </si>
  <si>
    <t>Mã lớp</t>
  </si>
  <si>
    <t>Khóa</t>
  </si>
  <si>
    <t>BM Qly</t>
  </si>
  <si>
    <t xml:space="preserve">Sĩ số
</t>
  </si>
  <si>
    <t>Lớp trưởng</t>
  </si>
  <si>
    <t>Thời gian họp lớp
(Giờ, Ngày/tháng/năm)
Ví dụ: 11h00, 20/8/2024
Lấy tự động từ link CTSV</t>
  </si>
  <si>
    <t>Địa điểm họp
lấy tự động từ link CTSV</t>
  </si>
  <si>
    <t>Số SV vắng họp</t>
  </si>
  <si>
    <t>Tóm tắt các hoạt động của lớp trong tháng (học tập, NCKH, hoạt động đoàn thể, nội trú, ngoại trú,...) *</t>
  </si>
  <si>
    <t xml:space="preserve">Nội dung Cố vấn học tập trong tháng </t>
  </si>
  <si>
    <t>Triển khai các hoạt động cho tháng tiếp theo</t>
  </si>
  <si>
    <t xml:space="preserve">Kiến nghị của lớp (nếu có)
</t>
  </si>
  <si>
    <t>Những thay đổi về TT GVCN hoặc cán bộ lớp (nếu có)</t>
  </si>
  <si>
    <t>Nội dung khác</t>
  </si>
  <si>
    <t>Nhà trường</t>
  </si>
  <si>
    <t>Thông báo lịch nghỉ tết âm lịch 2026</t>
  </si>
  <si>
    <t>ALL</t>
  </si>
  <si>
    <t>Vũ Xuân Thắng</t>
  </si>
  <si>
    <t>0988169829</t>
  </si>
  <si>
    <t>125251</t>
  </si>
  <si>
    <t>K23</t>
  </si>
  <si>
    <t>CNPM</t>
  </si>
  <si>
    <t>Phạm Đức Tuân</t>
  </si>
  <si>
    <t>0852687880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</si>
  <si>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</si>
  <si>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t>TB về việc nộp tiền BHYT năm 2026</t>
  </si>
  <si>
    <t>125252</t>
  </si>
  <si>
    <t>Vũ Hoàng Phước</t>
  </si>
  <si>
    <t>0826529998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</si>
  <si>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.v</t>
    </r>
    <r>
      <rPr>
        <rFont val="Times New Roman"/>
        <color theme="1"/>
        <sz val="13.0"/>
      </rPr>
      <t>n
- Phổ biến quy định của khoa và nhà trường về tác phong học tập, ăn mặc khi đến trường
- Thông báo lịch khai giảng 5-9 và cử cán bộ lớp đi dự</t>
    </r>
  </si>
  <si>
    <t>TB đăng ký học lại đợt 3</t>
  </si>
  <si>
    <t>Bùi Đức Thọ</t>
  </si>
  <si>
    <t>0868639969</t>
  </si>
  <si>
    <t>125253</t>
  </si>
  <si>
    <t>TB HD đánh giá điểm rèn luyện HK1 năm học 25-26</t>
  </si>
  <si>
    <t>Trần Đỗ Thu Hà</t>
  </si>
  <si>
    <t>0976289988</t>
  </si>
  <si>
    <t>125254</t>
  </si>
  <si>
    <t>Phạm Huy Hoàng</t>
  </si>
  <si>
    <t>0868780356</t>
  </si>
  <si>
    <t>- TB hướng dẫn SV làm bài thi trắc nghiệm SHCD K23
- TB cập nhật dữ liệu SV lên cổng thông tin đào tạo
- TB nộp tiền BHYT
- TB lịch học lại, học cải thiện</t>
  </si>
  <si>
    <t xml:space="preserve">-        Nhắc nhở, tư vấn giúp sinh viên lên kế học để ôn tập chuẩn bị cho kỳ thi KTHP.
-        Chuẩn bị hoàn thiện bài tập chương, bài tập lớn các môn học trong học kỳ. Nhắc nhở sinh viên cần làm bài tập chương/bài tập lớn theo lộ trình môn học, tránh để dồn làm một lần sẽ không có hiệu quả.
</t>
  </si>
  <si>
    <t xml:space="preserve">-	Nhắc nhở, tư vấn giúp sinh viên lên kế học để ôn tập chuẩn bị cho kỳ thi KTHP.
-	Thông báo lịch nghỉ tết dương lịch, triển khai các văn bản, thông báo, quyết định của nhà trường (nếu có) đến sinh viên.
</t>
  </si>
  <si>
    <t>Không có</t>
  </si>
  <si>
    <t>TB về việc thực hiện bầu cử Quốc hội và HĐND</t>
  </si>
  <si>
    <t>125255</t>
  </si>
  <si>
    <t>Ngô Thị Lan Anh</t>
  </si>
  <si>
    <t>0972.479.668</t>
  </si>
  <si>
    <t>101251</t>
  </si>
  <si>
    <t>HTTT</t>
  </si>
  <si>
    <t>Khoa, BM, Đoàn TN</t>
  </si>
  <si>
    <t>Triển khai các nhóm SV Khởi nghiệp, NCKH</t>
  </si>
  <si>
    <t>101252</t>
  </si>
  <si>
    <t>Triển khai xét TN cho SV</t>
  </si>
  <si>
    <t>K20</t>
  </si>
  <si>
    <t>Nguyễn Đình Chiến</t>
  </si>
  <si>
    <t>0962836394</t>
  </si>
  <si>
    <t>101253</t>
  </si>
  <si>
    <t>101254</t>
  </si>
  <si>
    <t>101255</t>
  </si>
  <si>
    <t>Phạm Minh Chuẩn</t>
  </si>
  <si>
    <t>0983081120</t>
  </si>
  <si>
    <t>12425TN</t>
  </si>
  <si>
    <t>KHMT</t>
  </si>
  <si>
    <t>Ngô Phạm Gia Bảo</t>
  </si>
  <si>
    <t xml:space="preserve">- Lớp đang học theo kế hoạch HK2 năm học 25-26
- SV về nghỉ tết thực tốt các nội quy, quy định và đảm bảo an toàn
- SV tích cực tham gia các hoạt động của khoa và nhà trường
</t>
  </si>
  <si>
    <t>124251</t>
  </si>
  <si>
    <t>Giáp Thị Ngọc Linh</t>
  </si>
  <si>
    <t>- Lớp đang học theo kế hoạch HK2 năm học 25-26
- SV về nghỉ tết thực tốt các nội quy, quy định và đảm bảo an toàn
- SV tích cực tham gia các hoạt động của khoa và nhà trường</t>
  </si>
  <si>
    <t>Tổng hợp nội dung cần triển khai theo Khóa học</t>
  </si>
  <si>
    <t>Phạm Quốc Hùng</t>
  </si>
  <si>
    <t>0983.360.925</t>
  </si>
  <si>
    <t>10122G.1</t>
  </si>
  <si>
    <t>Trần Hải Anh</t>
  </si>
  <si>
    <t>10122G.2</t>
  </si>
  <si>
    <t>Nguyễn Đình Lợi</t>
  </si>
  <si>
    <t>K21</t>
  </si>
  <si>
    <t>Nguyễn Vinh Quy</t>
  </si>
  <si>
    <t>0912.206.765</t>
  </si>
  <si>
    <t>10122G.3</t>
  </si>
  <si>
    <t>Phạm Ngọc Dũng</t>
  </si>
  <si>
    <t>K22</t>
  </si>
  <si>
    <t>Vi Hoài Nam</t>
  </si>
  <si>
    <t>0944.879.789</t>
  </si>
  <si>
    <t>10122N.1</t>
  </si>
  <si>
    <t>NGUYỄN THỊ THU HIỀN</t>
  </si>
  <si>
    <t>Chu Bá Thành</t>
  </si>
  <si>
    <t>090.158.2882</t>
  </si>
  <si>
    <t>10122O.1</t>
  </si>
  <si>
    <t>Nguyễn Thăng Long</t>
  </si>
  <si>
    <t>Nội dung cần triển khai trong tháng tiếp theo</t>
  </si>
  <si>
    <t>Đào Anh Hiển</t>
  </si>
  <si>
    <t>0983.264.436</t>
  </si>
  <si>
    <t>12522T.1</t>
  </si>
  <si>
    <t>Lưu Hoài Thương</t>
  </si>
  <si>
    <t>Triển khai thực ĐATN, ĐACN</t>
  </si>
  <si>
    <t>0988.169.829</t>
  </si>
  <si>
    <t>12522W.1</t>
  </si>
  <si>
    <t>Trần Thị Phương</t>
  </si>
  <si>
    <t>0975.822.600</t>
  </si>
  <si>
    <t>12522W.2</t>
  </si>
  <si>
    <t>TẠ THỊ NHÃ</t>
  </si>
  <si>
    <t>- Nhắc nhở SV lịch thi các môn tiến độ 1
- Nhắc nhở trả nợ các môn xong trước 1/11/2025</t>
  </si>
  <si>
    <t>0976.289.988</t>
  </si>
  <si>
    <t>12522W.3</t>
  </si>
  <si>
    <t>Trương Thu Hoài</t>
  </si>
  <si>
    <t>0313987784</t>
  </si>
  <si>
    <t>- SV đi thực tập tại doanh nghiệp
- TB nộp tiền BHYT
- TB lịch học lại, học cải thiện</t>
  </si>
  <si>
    <t>- Đi thực tập tại doanh nghiệp
- Hoàn thành học phí
- Tiếp tục trả nợ các môn</t>
  </si>
  <si>
    <t>12522W.4</t>
  </si>
  <si>
    <t>Đinh Thị Huyền Trang</t>
  </si>
  <si>
    <t>0983.081.120</t>
  </si>
  <si>
    <t>12422TN</t>
  </si>
  <si>
    <t>PHẠM TÙNG DƯƠNG</t>
  </si>
  <si>
    <t xml:space="preserve">- SV nghỉ tết an toàn và thực hiện nghiêm túc các nội quy, quy định
- Lớp đã đánh giá xong điểm rèn luyện, tất cả SV đủ điều kiện xét TN
- Một số bạn đã tham gia nhóm nghiên cứu trong Khoa
</t>
  </si>
  <si>
    <t>- Nhắc nhở các bạn SV là đối tượng đảng tích cực tham gia các hoạt động của khoa, nhà trường;
- Các bạn cán bộ lớp thường xuyên theo dõi ý thức học tập và điểm danh hàng tuần trên link online</t>
  </si>
  <si>
    <t>Các nhóm SV NCKH thực hiện theo tiến độ</t>
  </si>
  <si>
    <t>Bùi Thị Hồng Hạnh</t>
  </si>
  <si>
    <t>0362.936.458</t>
  </si>
  <si>
    <t>124221</t>
  </si>
  <si>
    <t>Nguyễn Văn Đạt</t>
  </si>
  <si>
    <t>Nhắc nhở SV trả nợ học phần, đặc biệt K20 để đảm bảo điều kiện xét TN</t>
  </si>
  <si>
    <t>10123G.1</t>
  </si>
  <si>
    <t>GVCN đôn đốc, nhắc nhở và liên hệ về gia đình SV nghỉ nhiều, nợ nhiều học phần</t>
  </si>
  <si>
    <t>10123G.2</t>
  </si>
  <si>
    <t>10123N.1</t>
  </si>
  <si>
    <t>10123O.1</t>
  </si>
  <si>
    <t>Đỗ Thị Thu Trang</t>
  </si>
  <si>
    <t>0912.100.248</t>
  </si>
  <si>
    <t>12523T.1</t>
  </si>
  <si>
    <t>Tổng hợp nội dung cần triển khai trong tháng tới theo Khóa học</t>
  </si>
  <si>
    <t>Nguyễn Hoàng Điệp</t>
  </si>
  <si>
    <t>987.862.348</t>
  </si>
  <si>
    <t>12523W.1</t>
  </si>
  <si>
    <t>Lưu Văn Đức Anh</t>
  </si>
  <si>
    <t>ko</t>
  </si>
  <si>
    <t>Lớp tham gia hoạt động khoa và nhà trường</t>
  </si>
  <si>
    <t>12523W.2</t>
  </si>
  <si>
    <t>NGUYỄN HOÀNG NHẤT</t>
  </si>
  <si>
    <t>12523W.3</t>
  </si>
  <si>
    <t>NGUYỄN QUỐC TUẤN</t>
  </si>
  <si>
    <t>Lớp tham gia hoạt động khoa và nhà trường và cơ sở Hải Dương</t>
  </si>
  <si>
    <t>12523W.4</t>
  </si>
  <si>
    <t>PHAN VĂN KHÁNH</t>
  </si>
  <si>
    <t>12423TN</t>
  </si>
  <si>
    <t>Lưu Hoàng Minh</t>
  </si>
  <si>
    <t>0394238517</t>
  </si>
  <si>
    <t xml:space="preserve">- SV nghỉ tết an toàn và thực hiện nghiêm túc các nội quy, quy định
- Lớp đã đánh giá xong điểm rèn luyện
- SV tích cực tham gia các hoạt động của khoa và nhà trường
</t>
  </si>
  <si>
    <t>124231</t>
  </si>
  <si>
    <t>Lê Dương Hiếu</t>
  </si>
  <si>
    <t>0912206765</t>
  </si>
  <si>
    <t>10124G.1</t>
  </si>
  <si>
    <t>Nguyễn Ngọc Phương Thảo</t>
  </si>
  <si>
    <t>10124G.2</t>
  </si>
  <si>
    <t>Nguyễn Thị Minh Ánh</t>
  </si>
  <si>
    <t>Nguyễn Anh Hải</t>
  </si>
  <si>
    <t>0366.779.935</t>
  </si>
  <si>
    <t>101243</t>
  </si>
  <si>
    <t>101244</t>
  </si>
  <si>
    <t>Trịnh Thị Nhị</t>
  </si>
  <si>
    <t>0978.606.526</t>
  </si>
  <si>
    <t>12524W.1</t>
  </si>
  <si>
    <t>NGUYỄN THỊ NGỌC LINH</t>
  </si>
  <si>
    <t>- Lớp đang học theo kế hoạch HK1 năm học 25-26
- Lớp đã tham gia các hoạt động của Đoàn, của khoa, tham gia NCKH, khởi nghiệp;</t>
  </si>
  <si>
    <t>không</t>
  </si>
  <si>
    <t>Lớp mới phân chuyên ngành, CBL mới</t>
  </si>
  <si>
    <t>12524W.2</t>
  </si>
  <si>
    <t>NGUYỄN MINH VŨ</t>
  </si>
  <si>
    <t>12524W.3</t>
  </si>
  <si>
    <t>PHẠM TRỌNG NAM</t>
  </si>
  <si>
    <t>Ngô Thanh Huyền</t>
  </si>
  <si>
    <t>0982.713.518</t>
  </si>
  <si>
    <t>12524W.4</t>
  </si>
  <si>
    <t>NGUYỄN CÔNG THÀNH</t>
  </si>
  <si>
    <t>12524T.1</t>
  </si>
  <si>
    <t>VŨ THỊ PHƯƠNG THẢO</t>
  </si>
  <si>
    <t>12424TN</t>
  </si>
  <si>
    <t>Lương Bảo Long</t>
  </si>
  <si>
    <t>- SV nghỉ tết an toàn và thực hiện nghiêm túc các nội quy, quy định
- Lớp đã đánh giá xong điểm rèn luyện
- SV tích cực tham gia các hoạt động của khoa và nhà trường</t>
  </si>
  <si>
    <t>124241</t>
  </si>
  <si>
    <t>Thông báo cài đặt, đăng ký sử dụng BHYT trên VSSID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</si>
  <si>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</si>
  <si>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.v</t>
    </r>
    <r>
      <rPr>
        <rFont val="Times New Roman"/>
        <color theme="1"/>
        <sz val="13.0"/>
      </rPr>
      <t>n
- Phổ biến quy định của khoa và nhà trường về tác phong học tập, ăn mặc khi đến trường
- Thông báo lịch khai giảng 5-9 và cử cán bộ lớp đi dự</t>
    </r>
  </si>
  <si>
    <t>TB SV đánh giá TC GVCN</t>
  </si>
  <si>
    <t>TB đánh giá điểm rèn luyện HK1 năm học 25-26</t>
  </si>
  <si>
    <t>Triển khai SV K20 bảo vệ thực tập DN</t>
  </si>
  <si>
    <t>Triển khai nhắc nhở SV còn thiếu hồ sơ nhập học</t>
  </si>
  <si>
    <t>- Lớp đang học theo kế hoạch HK2 năm học 25-26
- Lớp đã đánh giá xong điểm rèn luyện HK1
- SV tích cực tham gia các hoạt động của khoa và nhà trường
- Một số sinh viên nghỉ học nhiều, GVCN đã liên hệ về gia đình</t>
  </si>
  <si>
    <t>Triển khai các hoạt động cho HK2 năm học 25-26</t>
  </si>
  <si>
    <t xml:space="preserve">- Lớp đã thực tập DN xong và bảo vệ TT
- Lớp đã đánh giá sơ bộ điểm rèn luyện, khi nào có đủ điểm HK1 sẽ chốt điểm RL.
- Một số bạn đã tham gia nhóm nghiên cứu trong Khoa
</t>
  </si>
  <si>
    <t>"- Lớp đang học theo kế hoạch HK2 năm học 25-26
- Lớp đã đánh giá xong điểm rèn luyện HK1
- SV tích cực tham gia các hoạt động của khoa và nhà trường
- Một số sinh viên nghỉ học nhiều, GVCN đã liên hệ về gia đình"</t>
  </si>
  <si>
    <t>- Lớp đang học theo kế hoạch HK2 năm học 25-26
- Lớp đã đánh giá xong điểm rèn luyện HK1
- SV tích cực tham gia các hoạt động của khoa và nhà trường
- Một số sinh viên chưa tích cực tham gia các hoạt động đã được GVCN nhắc nhở để cải thiện trong HK2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</si>
  <si>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</si>
  <si>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.v</t>
    </r>
    <r>
      <rPr>
        <rFont val="Times New Roman"/>
        <color theme="1"/>
        <sz val="13.0"/>
      </rPr>
      <t>n
- Phổ biến quy định của khoa và nhà trường về tác phong học tập, ăn mặc khi đến trường
- Thông báo lịch khai giảng 5-9 và cử cán bộ lớp đi dự</t>
    </r>
  </si>
  <si>
    <t>TB Lịch nghỉ tết dương lịch</t>
  </si>
  <si>
    <t>TB lịch thi KTHP</t>
  </si>
  <si>
    <t>Triển khai SV K20 thực tập DN</t>
  </si>
  <si>
    <t>- Lớp đã học xong tiến độ học kỳ 1, ôn tập chuẩn bị cho thi KTHP
- Lớp đã cập nhật thông tin trên cổng đào tạo; 
- SV tích cực tham gia các hoạt động của khoa và nhà trường
- Một số sinh viên nghỉ học nhiều, GVCN đã liên hệ về gia đình</t>
  </si>
  <si>
    <t>- Lớp đã học xong tiến độ học kỳ 1, ôn tập chuẩn bị cho thi KTHP
- Lớp đã cập nhật thông tin trên cổng đào tạo; 
- SV tích cực tham gia các hoạt động của khoa và nhà trường</t>
  </si>
  <si>
    <t xml:space="preserve">- Lớp đang thực tập DN theo kế hoạch
- Đã cập nhật DS SV tham gia bầu cử
- Một số bạn đã tham gia nhóm nghiên cứu trong Khoa
</t>
  </si>
  <si>
    <t>- Lớp đã học xong HK1, đang ôn tập thi KTHP
- Lớp đã tham gia các hoạt động của Đoàn, của khoa, tham gia NCKH, khởi nghiệp;
- Một số bạn đã tham gia nhóm nghiên cứu trong Khoa
- Đã cập nhật DS SV tham gia bầu cử</t>
  </si>
  <si>
    <t>- Lớp đã học xong HK1, đang ôn tập thi KTHP
- Lớp đã tham gia các hoạt động của Đoàn, của khoa, tham gia NCKH, khởi nghiệp đạt giải KK;
- Một số bạn đã tham gia nhóm nghiên cứu trong Khoa
- Đã cập nhật DS SV tham gia bầu cử</t>
  </si>
  <si>
    <t>Thông báo cập nhật thông tin sinh viên trên cổng quả lý đào tạo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</si>
  <si>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</si>
  <si>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.v</t>
    </r>
    <r>
      <rPr>
        <rFont val="Times New Roman"/>
        <color theme="1"/>
        <sz val="13.0"/>
      </rPr>
      <t>n
- Phổ biến quy định của khoa và nhà trường về tác phong học tập, ăn mặc khi đến trường
- Thông báo lịch khai giảng 5-9 và cử cán bộ lớp đi dự</t>
    </r>
  </si>
  <si>
    <t>TB thi trắc nghiệm tuần SHCD trên cổng học trực tuyến</t>
  </si>
  <si>
    <t>TB cho SV nâng cao cảnh giác, đề phòng các đối tượng lừa đảo</t>
  </si>
  <si>
    <t>- Lớp đang học theo tiến độ học kỳ 1
- Lớp đã cập nhật thông tin trên cổng đào tạo; 
- Lớp đã thi TN tuần SHCD trên cổng học trực tuyến
- SV tích cực tham gia các hoạt động của khoa và nhà trường</t>
  </si>
  <si>
    <t xml:space="preserve">Triển khai các hoạt động </t>
  </si>
  <si>
    <t>Triển khai các hoạt động kỷ niệm ngày 20/11</t>
  </si>
  <si>
    <t xml:space="preserve">- Lớp đang thực tập DN theo kế hoạch
- Lớp đã tham gia các hoạt động của Đoàn, có 01 nhóm NCKH, khởi nghiệp đạt giảng KK;
- Một số bạn đã tham gia nhóm nghiên cứu trong Khoa
</t>
  </si>
  <si>
    <t xml:space="preserve">- Lớp đang học theo tiến độ 2 HK1 năm học 25-26
- Lớp đã tham gia các hoạt động của Đoàn, của khoa, tham gia NCKH, khởi nghiệp;
- Một số bạn đã tham gia nhóm nghiên cứu trong Khoa
</t>
  </si>
  <si>
    <t xml:space="preserve">- Lớp đang học theo tiến độ 2 HK1 năm học 25-26
- Lớp đã tham gia các hoạt động của Đoàn, của khoa, tham gia NCKH, khởi nghiệp đạt giải KK;
- Một số bạn đã tham gia nhóm nghiên cứu trong Khoa
</t>
  </si>
  <si>
    <t>Thông báo xét chọn học bổng Brother năm học 2025 - 2026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</si>
  <si>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</si>
  <si>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t>TB rà soát thông tin SV nghỉ học dài ngày đối với K23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</si>
  <si>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.v</t>
    </r>
    <r>
      <rPr>
        <rFont val="Times New Roman"/>
        <color theme="1"/>
        <sz val="13.0"/>
      </rPr>
      <t>n
- Phổ biến quy định của khoa và nhà trường về tác phong học tập, ăn mặc khi đến trường
- Thông báo lịch khai giảng 5-9 và cử cán bộ lớp đi dự</t>
    </r>
  </si>
  <si>
    <t>TB đăng ký thi đua tập thể và cá nhân năm học 25-26</t>
  </si>
  <si>
    <t>- TB cho SV nâng cao cảnh giác, đề phòng lừa đảo
- Kiểm tra thường xuyên, đôn đốc, nhắc nhở SV trong học tập các môn học
- Tư vấn, định hướng kịp thời cho SV
- Tham gia trải nghiệm doanh nghiệp VTI Group (lớp đi đầy đủ)
- 1 SV Nguyễn Quang Dương, mã SV: 10125102 xin nghỉ học vì hoàn cảnh gia đình, đã liên lạc về cho mẹ theo SĐT: 0982608409</t>
  </si>
  <si>
    <t xml:space="preserve">-	Theo dõi tiến độ các môn học của sinh viên, nhắc sinh viên học tập
-	Nhắc sinh viên cần chủ động tự học và học nhóm để giúp đỡ nhau trong học tập.
-	Đăng ký thi đua cá nhân, tập thể
-	Lập danh sách nội, ngoại trú
-	Lập danh sách trích ngang
</t>
  </si>
  <si>
    <t xml:space="preserve">-	Nhắc nhở, tư vấn giúp sinh viên lên kế học để ôn tập chuẩn bị cho kỳ thi KTHP.
-	Chuẩn bị hoàn thiện bài tập chương, bài tập lớn các môn học trong học kỳ. Nhắc nhở sinh viên cần làm bài tập chương/bài tập lớn theo lộ trình môn học, tránh để dồn làm một lần sẽ không có hiệu quả.
</t>
  </si>
  <si>
    <t>- Lớp đã tham gia thực tập nhận thức công nghệ tại Fsoft
- Lớp đang học theo tiến độ học kỳ 1
- Lớp đã nộp đăng ký thi đua năm học 25-26
- SV tích cực tham gia các hoạt động của khoa và nhà trường</t>
  </si>
  <si>
    <t>- Lớp đã tham gia thực tập nhận thức công nghệ tại Fsoft và VTI
- Lớp đang học theo tiến độ học kỳ 1
- Lớp đã nộp đăng ký thi đua năm học 25-26</t>
  </si>
  <si>
    <t>- TB cho SV nâng cao cảnh giác, đề phòng lừa đảo
- Gửi đăng ký thi đua tập thể, cá nhân
- TB lịch học lại thi lại đợt 3, đôn đốc SV đăng ký và học lại để kịp xét làm ĐATN
- Chuẩn bị đi thực tập tại doanh nghiệp, hoàn thành cơ bản các giấy tờ cần thiết</t>
  </si>
  <si>
    <t>- Lớp đã học và thi KTHP xong tiến độ 1
- Lớp đã tham gia các hoạt động của Đoàn, có 01 nhóm NCKH, khởi nghiệp;
- Một số bạn đã tham gia nhóm nghiên cứu trong Khoa
- Sinh viên đã có quyết định đi thực tập DN từ 10/11/25</t>
  </si>
  <si>
    <t xml:space="preserve">- Lớp đang học theo kế hoạch HK1 năm học 25-26
- Lớp đã tham gia các hoạt động của Đoàn, của khoa, tham gia NCKH, khởi nghiệp;
- Một số bạn đã tham gia nhóm nghiên cứu trong Khoa
</t>
  </si>
  <si>
    <t xml:space="preserve">"- Lớp đang học theo kế hoạch HK1 năm học 25-26
- Lớp đã tham gia các hoạt động của Đoàn, của khoa, tham gia NCKH, khởi nghiệp;
- Một số bạn đã tham gia nhóm nghiên cứu trong Khoa
</t>
  </si>
  <si>
    <t>Kế hoạch số 744/KH-ĐHSPKTHY ngày 15/9/2025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</si>
  <si>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</si>
  <si>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t>Kế hoạch số 745/KH-ĐHSPKTHY ngày 15/9/2025: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</si>
  <si>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.v</t>
    </r>
    <r>
      <rPr>
        <rFont val="Times New Roman"/>
        <color theme="1"/>
        <sz val="13.0"/>
      </rPr>
      <t>n
- Phổ biến quy định của khoa và nhà trường về tác phong học tập, ăn mặc khi đến trường
- Thông báo lịch khai giảng 5-9 và cử cán bộ lớp đi dự</t>
    </r>
  </si>
  <si>
    <t>Kế hoạch số 746/KH-ĐHSPKTHY ngày 15/9/2025</t>
  </si>
  <si>
    <t>Kế hoạch số 747/KH-ĐHSPKTHY ngày 15/9/2025</t>
  </si>
  <si>
    <t>- Triển khai đăng ký thi đua cá nhân/ tập thể, ký cam kết an toàn giao thông
- Thông báo về việc đảm bảo ATGT, PCMT, PCTP năm học 2025 - 2026
- Nhắc nhở ý thức học tập, đi học đầy đủ, điểm danh các buổi học
- Bầu chọn lại lớp trưởng</t>
  </si>
  <si>
    <t xml:space="preserve">-	Ổn định lớp, lập danh sách lý lịch trích ngang, đăng ký thi đua khen thưởng….
-	Phổ biến, nhắc nhở sinh viên sinh hoạt đầu khoá và làm bài trắc nghiệm sinh hoạt đầu khóa đúng thời gian.
-	Định hướng các môn học trong kỳ
</t>
  </si>
  <si>
    <t>Lớp trưởng: Phạm Huy Hoàng, sđt 0868780356, email: Hoangphamken89@gmail.com
Lớp phó HT: Trịnh Tiến Đạt, sđt 0867038045, email: trinhdathd2007@gmail.com
Lớp phó ĐS: Hoàng Thị Phương Thảo, sđt 0961074396, email:hoangthao2020hd@gmail.com
Bí thư: Hoàng Thành Công, sđt 0366447031, email: fananhhao54@gmail.com
Phó bí thư: Nguyễn Tuấn Huy, sđt 0862058252, email: tuanhuy07082007@gmail.com
Uỷ viên: Trịnh Huy Hoàng, sđt 0346878258, email: trinhhuyhoanghd@gmail.com</t>
  </si>
  <si>
    <t>Kế hoạch số 748/KH-ĐHSPKTHY ngày 15/9/2025</t>
  </si>
  <si>
    <t>Kế hoạch số 807/KH-ĐHSPKTHY ngày 29/9/2025</t>
  </si>
  <si>
    <t>- Lớp đã học chính trị đầu khóa, khám sức khỏe theo quy định
- Lớp đang học theo tiến độ học kỳ 1, đã bầu xong ban cán sự lớp
- GVCN đã triển khai cho SV cập nhật lý lịch trích ngang</t>
  </si>
  <si>
    <t>Triển khai TB Đăng ký thi đua tập thể cá nhân Sv năm học 2025 - 2026</t>
  </si>
  <si>
    <t>Thông báo về việc đảm bảo ATGT, PCMT, PCTP năm học 2025 - 2026</t>
  </si>
  <si>
    <t>- Nhắc nhở SV lịch thi các môn tiến độ 1
- Nhắc nhở trả nợ các môn xong trước 1/11/2025
- Gặp mặt doanh nghiệp tại CSMH
- Đăng ký nơi đi thực tập</t>
  </si>
  <si>
    <t>- Chuẩn bị thi KTHP các môn
- Chuẩn bị đi thực tập tại doanh nghiệp
- Đóng học phí
- Tiếp tục trả nợ các môn</t>
  </si>
  <si>
    <t>- Lớp đang học theo kế hoạch HK1 năm học 25-26
- Lớp đã tham gia các hoạt động của Đoàn, có 01 nhóm NCKH, khởi nghiệp;
- Một số bạn đã tham gia nhóm nghiên cứu trong Khoa
- Lớp đang lựa chọn DN đi thực tập</t>
  </si>
  <si>
    <t>Triển khai tuần sinh hoạt công dân giữa kỳ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</si>
  <si>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</si>
  <si>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t>TB nghỉ lễ ngày 2/9/2025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</si>
  <si>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</si>
  <si>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t>TB việc thực hiện bài thu hoạch SHCD- SV</t>
  </si>
  <si>
    <t>TB tổ chức học lại đợt 2 kỳ 1 năm học 25-26</t>
  </si>
  <si>
    <t>Phạm Hoàng Nam</t>
  </si>
  <si>
    <t>0327375123</t>
  </si>
  <si>
    <t>- Gặp gỡ SV đầu khoá
- Thông báo lịch học tuần SHCD và lịch học tuần 4
- Nhắc nhở SV nội quy, quy định của khoa, lớp học
- Tư vấn ngành, hướng dẫn SV làm đơn chuyển ngành
- Bầu chọn cán bộ lớp</t>
  </si>
  <si>
    <r>
      <rPr>
        <rFont val="Times New Roman"/>
        <color theme="1"/>
        <sz val="13.0"/>
      </rPr>
      <t xml:space="preserve">- Bầu ban cán sự lớp
- Phổ biến một số thông tin liên quan đến sinh viên
- Hướng dẫn sinh viên xem thời khóa biểu trên phần mềm </t>
    </r>
    <r>
      <rPr>
        <rFont val="Times New Roman"/>
        <color rgb="FF1155CC"/>
        <sz val="13.0"/>
        <u/>
      </rPr>
      <t>https://qldaotao.utehy.edu</t>
    </r>
    <r>
      <rPr>
        <rFont val="Times New Roman"/>
        <color rgb="FF000000"/>
        <sz val="13.0"/>
      </rPr>
      <t>.</t>
    </r>
    <r>
      <rPr>
        <rFont val="Times New Roman"/>
        <color theme="1"/>
        <sz val="13.0"/>
      </rPr>
      <t>vn
- Phổ biến quy định của khoa và nhà trường về tác phong học tập, ăn mặc khi đến trường
- Thông báo lịch khai giảng 5-9 và cử cán bộ lớp đi dự</t>
    </r>
  </si>
  <si>
    <t>Lớp trưởng: Phạm Hoàng Nam, sđt 0327375123, email: pnam49970@gmail.com
Lớp phó HT: Trịnh Tiến Đạt, sđt 0867038045, email: trinhdathd2007@gmail.com
Lớp phó ĐS: Hoàng Thị Phương Thảo, sđt 0961074396, email:hoangthao2020hd@gmail.com
Bí thư: Hoàng Thành Công, sđt 0366447031, email: fananhhao54@gmail.com
Phó bí thư: Nguyễn Tuấn Huy, sđt 0862058252, email: tuanhuy07082007@gmail.com
Uỷ viên: Trịnh Huy Hoàng, sđt 0346878258, email: trinhhuyhoanghd@gmail.com</t>
  </si>
  <si>
    <t>TB xét học bổng TOTO</t>
  </si>
  <si>
    <t>TB về việc quản lý xe gửi tại trường</t>
  </si>
  <si>
    <t>Triển khai các nhóm SV Khởi nghiệp</t>
  </si>
  <si>
    <t>GVCN đăng ký họp lớp, triển khai các nhiệm vụ năm học</t>
  </si>
  <si>
    <t>Triển khai TB nộp học phí Hk1 năm học 2025-2026</t>
  </si>
  <si>
    <t>- Gặp mặt SV, triển khai các nội dung đầu năm, nhắc nhở lịch học SHCD
- Đăng ký học lại, học cải thiện các môn học
- TB nghỉ lễ quốc khánh 2/9
- Đăng ký số lượng SV tình nguyện tham gia hỗ trợ công tác nhập học</t>
  </si>
  <si>
    <t>- Lớp đang học theo kế hoạch HK1 năm học 25-26
- Lớp đã tham gia các hoạt động của Đoàn, có 01 nhóm NCKH, khởi nghiệp;
- Một số bạn đã tham gia nhóm nghiên cứu trong Khoa
- Sinh viên nghỉ lê 2/9 an toàn</t>
  </si>
  <si>
    <t>K19</t>
  </si>
  <si>
    <t>- Lớp đang học theo kế hoạch HK1 năm học 25-26
- Lớp đã tham gia các hoạt động của Đoàn, của khoa, tham gia NCKH, khởi nghiệp;
- Một số bạn đã tham gia nhóm nghiên cứu trong Khoa
- Sinh viên nghỉ lê 2/9 an toàn</t>
  </si>
  <si>
    <t>"- Lớp đang học theo kế hoạch HK1 năm học 25-26
- Lớp đã tham gia các hoạt động của Đoàn, của khoa, tham gia NCKH, khởi nghiệp;
- Một số bạn đã tham gia nhóm nghiên cứu trong Khoa
- Sinh viên nghỉ lê 2/9 an toàn"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</si>
</sst>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3.0"/>
      <color rgb="FF000000"/>
      <name val="Times New Roman"/>
    </font>
    <font>
      <b/>
      <sz val="18.0"/>
      <color theme="1"/>
      <name val="Times New Roman"/>
    </font>
    <font>
      <sz val="15.0"/>
      <color theme="1"/>
      <name val="Times New Roman"/>
    </font>
    <font>
      <b/>
      <sz val="13.0"/>
      <color rgb="FF000000"/>
      <name val="Times New Roman"/>
    </font>
    <font>
      <u/>
      <sz val="15.0"/>
      <color rgb="FF0000FF"/>
      <name val="Times New Roman"/>
    </font>
    <font>
      <b/>
      <u/>
      <sz val="15.0"/>
      <color rgb="FF0000FF"/>
      <name val="Times New Roman"/>
    </font>
    <font>
      <b/>
      <u/>
      <sz val="13.0"/>
      <color rgb="FF0563C1"/>
      <name val="Times New Roman"/>
    </font>
    <font>
      <sz val="14.0"/>
      <color theme="1"/>
      <name val="Times New Roman"/>
    </font>
    <font>
      <sz val="11.0"/>
      <color theme="1"/>
      <name val="Times New Roman"/>
    </font>
    <font>
      <u/>
      <sz val="13.0"/>
      <color theme="1"/>
      <name val="Times New Roman"/>
    </font>
    <font>
      <sz val="13.0"/>
      <color rgb="FFFFFFFF"/>
      <name val="Times New Roman"/>
    </font>
    <font/>
    <font>
      <sz val="12.0"/>
      <color theme="1"/>
      <name val="Times New Roman"/>
    </font>
    <font>
      <sz val="11.0"/>
      <color theme="1"/>
      <name val="&quot;Times New Roman&quot;"/>
    </font>
    <font>
      <sz val="11.0"/>
      <color rgb="FF000000"/>
      <name val="&quot;Times New Roman&quot;"/>
    </font>
    <font>
      <color theme="1"/>
      <name val="&quot;Times New Roman&quot;"/>
    </font>
    <font>
      <color rgb="FF000000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2.0"/>
      <color rgb="FF000000"/>
      <name val="Times New Roman"/>
    </font>
    <font>
      <i/>
      <sz val="13.0"/>
      <color theme="1"/>
      <name val="Times New Roman"/>
    </font>
    <font>
      <b/>
      <u/>
      <sz val="13.0"/>
      <color rgb="FF0000FF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1" vertical="center" wrapText="0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7" numFmtId="0" xfId="0" applyAlignment="1" applyFill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1" vertical="center" wrapText="0"/>
    </xf>
    <xf borderId="1" fillId="0" fontId="2" numFmtId="0" xfId="0" applyAlignment="1" applyBorder="1" applyFont="1">
      <alignment horizontal="center" readingOrder="0" shrinkToFit="1" vertical="center" wrapText="0"/>
    </xf>
    <xf borderId="1" fillId="3" fontId="2" numFmtId="0" xfId="0" applyAlignment="1" applyBorder="1" applyFill="1" applyFont="1">
      <alignment horizontal="center" readingOrder="0" shrinkToFit="1" vertical="center" wrapText="0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1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1" vertical="center" wrapText="0"/>
    </xf>
    <xf borderId="1" fillId="0" fontId="1" numFmtId="0" xfId="0" applyAlignment="1" applyBorder="1" applyFont="1">
      <alignment readingOrder="0" vertical="center"/>
    </xf>
    <xf quotePrefix="1"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shrinkToFit="1" vertical="center" wrapText="0"/>
    </xf>
    <xf borderId="1" fillId="0" fontId="1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quotePrefix="1" borderId="1" fillId="0" fontId="1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vertical="center"/>
    </xf>
    <xf borderId="0" fillId="0" fontId="13" numFmtId="0" xfId="0" applyAlignment="1" applyFont="1">
      <alignment horizontal="center" vertical="center"/>
    </xf>
    <xf borderId="3" fillId="0" fontId="14" numFmtId="0" xfId="0" applyBorder="1" applyFont="1"/>
    <xf quotePrefix="1"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1" vertical="center" wrapText="0"/>
    </xf>
    <xf borderId="1" fillId="0" fontId="1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readingOrder="0" shrinkToFit="1" vertical="center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4" fillId="0" fontId="14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4" fontId="3" numFmtId="3" xfId="0" applyAlignment="1" applyFont="1" applyNumberFormat="1">
      <alignment horizontal="center" readingOrder="0" vertical="center"/>
    </xf>
    <xf borderId="5" fillId="2" fontId="3" numFmtId="49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quotePrefix="1"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left" vertical="center"/>
    </xf>
    <xf borderId="1" fillId="5" fontId="1" numFmtId="49" xfId="0" applyAlignment="1" applyBorder="1" applyFill="1" applyFont="1" applyNumberFormat="1">
      <alignment horizontal="center" shrinkToFit="0" vertical="center" wrapText="1"/>
    </xf>
    <xf borderId="1" fillId="6" fontId="15" numFmtId="0" xfId="0" applyAlignment="1" applyBorder="1" applyFill="1" applyFont="1">
      <alignment horizontal="center" vertical="center"/>
    </xf>
    <xf borderId="1" fillId="6" fontId="15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horizontal="center" shrinkToFit="1" vertical="center" wrapText="0"/>
    </xf>
    <xf borderId="0" fillId="7" fontId="1" numFmtId="49" xfId="0" applyAlignment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horizontal="left" readingOrder="0" shrinkToFit="1" vertical="center" wrapText="0"/>
    </xf>
    <xf quotePrefix="1" borderId="1" fillId="0" fontId="1" numFmtId="0" xfId="0" applyAlignment="1" applyBorder="1" applyFont="1">
      <alignment horizontal="left" readingOrder="0" vertical="center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6" fontId="15" numFmtId="0" xfId="0" applyAlignment="1" applyBorder="1" applyFont="1">
      <alignment horizontal="center" vertical="center"/>
    </xf>
    <xf borderId="1" fillId="8" fontId="1" numFmtId="49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7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shrinkToFit="0" vertical="center" wrapText="1"/>
    </xf>
    <xf quotePrefix="1" borderId="1" fillId="8" fontId="1" numFmtId="49" xfId="0" applyAlignment="1" applyBorder="1" applyFont="1" applyNumberFormat="1">
      <alignment horizontal="center" readingOrder="0" shrinkToFit="0" vertical="center" wrapText="1"/>
    </xf>
    <xf borderId="1" fillId="9" fontId="1" numFmtId="49" xfId="0" applyAlignment="1" applyBorder="1" applyFill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1" vertical="center" wrapText="0"/>
    </xf>
    <xf borderId="0" fillId="7" fontId="1" numFmtId="0" xfId="0" applyAlignment="1" applyFont="1">
      <alignment horizontal="center" readingOrder="0" shrinkToFit="1" vertical="center" wrapText="0"/>
    </xf>
    <xf borderId="0" fillId="7" fontId="1" numFmtId="0" xfId="0" applyAlignment="1" applyFont="1">
      <alignment horizontal="left" readingOrder="0" shrinkToFit="1" vertical="center" wrapText="0"/>
    </xf>
    <xf borderId="1" fillId="9" fontId="1" numFmtId="49" xfId="0" applyAlignment="1" applyBorder="1" applyFont="1" applyNumberFormat="1">
      <alignment horizontal="center" shrinkToFit="0" vertical="center" wrapText="1"/>
    </xf>
    <xf borderId="0" fillId="7" fontId="1" numFmtId="0" xfId="0" applyAlignment="1" applyFont="1">
      <alignment horizontal="left" shrinkToFit="1" vertical="center" wrapText="0"/>
    </xf>
    <xf borderId="1" fillId="0" fontId="16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horizontal="center" vertical="center"/>
    </xf>
    <xf borderId="1" fillId="4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2638425</xdr:colOff>
      <xdr:row>1</xdr:row>
      <xdr:rowOff>238125</xdr:rowOff>
    </xdr:from>
    <xdr:ext cx="1276350" cy="38100"/>
    <xdr:grpSp>
      <xdr:nvGrpSpPr>
        <xdr:cNvPr id="2" name="Shape 2" title="Drawing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3" name="Shape 3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295275</xdr:colOff>
      <xdr:row>1</xdr:row>
      <xdr:rowOff>238125</xdr:rowOff>
    </xdr:from>
    <xdr:ext cx="2019300" cy="38100"/>
    <xdr:grpSp>
      <xdr:nvGrpSpPr>
        <xdr:cNvPr id="2" name="Shape 2" title="Drawing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4" name="Shape 4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nz_ovROZBqxinvX3v4kT3aZpm8YwLfMO4scgXrWWaT8uk5w/viewform?usp=header" TargetMode="External"/><Relationship Id="rId2" Type="http://schemas.openxmlformats.org/officeDocument/2006/relationships/hyperlink" Target="https://docs.google.com/spreadsheets/d/1r5nnoPxtF7nGMKVMoUxtv3soo-ViqzZm2TGjss9qafA/edit?gid=0" TargetMode="External"/><Relationship Id="rId3" Type="http://schemas.openxmlformats.org/officeDocument/2006/relationships/hyperlink" Target="https://docs.google.com/spreadsheets/d/1QfInhV6_YXjbJgeCXJ370Rz4ercnFoTR58xB4rzVAmY/edit?gid=1954418948" TargetMode="External"/><Relationship Id="rId4" Type="http://schemas.openxmlformats.org/officeDocument/2006/relationships/hyperlink" Target="https://docs.google.com/spreadsheets/d/1QfInhV6_YXjbJgeCXJ370Rz4ercnFoTR58xB4rzVAmY/edit?gid=1954418948" TargetMode="External"/><Relationship Id="rId5" Type="http://schemas.openxmlformats.org/officeDocument/2006/relationships/hyperlink" Target="https://qldaotao.utehy.edu/" TargetMode="External"/><Relationship Id="rId6" Type="http://schemas.openxmlformats.org/officeDocument/2006/relationships/hyperlink" Target="https://qldaotao.utehy.edu/" TargetMode="External"/><Relationship Id="rId7" Type="http://schemas.openxmlformats.org/officeDocument/2006/relationships/hyperlink" Target="https://qldaotao.utehy.edu/" TargetMode="External"/><Relationship Id="rId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71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2.0</v>
      </c>
      <c r="E6" s="5">
        <v>2026.0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19" t="s">
        <v>20</v>
      </c>
      <c r="Q7" s="19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30</v>
      </c>
      <c r="D8" s="24" t="s">
        <v>31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IFERROR(__xludf.DUMMYFUNCTION("(VLOOKUP(J8,IMPORTRANGE(""https://docs.google.com/spreadsheets/d/1QfInhV6_YXjbJgeCXJ370Rz4ercnFoTR58xB4rzVAmY/edit?gid=1021743590#gid=1021743590"",""T2.2026!D4:I46""),6,0) &amp;"", ""&amp; TEXT(VLOOKUP(J8,IMPORTRANGE(""https://docs.google.com/spreadsheets/d/1QfIn"&amp;"hV6_YXjbJgeCXJ370Rz4ercnFoTR58xB4rzVAmY/edit?gid=1021743590#gid=1021743590"",""T2.2026!D4:I46""),5,0),""D/M/YYYY""))"),"#N/A")</f>
        <v>#N/A</v>
      </c>
      <c r="Q8" s="33" t="str">
        <f>IFERROR(__xludf.DUMMYFUNCTION("VLOOKUP(J8,IMPORTRANGE(""https://docs.google.com/spreadsheets/d/1QfInhV6_YXjbJgeCXJ370Rz4ercnFoTR58xB4rzVAmY/edit?gid=1021743590#gid=1021743590"",""T2.2026!D4:G46""),4,0)"),"#N/A")</f>
        <v>#N/A</v>
      </c>
      <c r="R8" s="30">
        <v>3.0</v>
      </c>
      <c r="S8" s="34"/>
      <c r="T8" s="35" t="str">
        <f t="shared" ref="T8:T10" si="1">INDEX(C$20:C$23, MATCH(K8, D$20:D$23, 0))</f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8" s="36" t="s">
        <v>39</v>
      </c>
      <c r="V8" s="35"/>
      <c r="W8" s="13"/>
      <c r="X8" s="37"/>
      <c r="Y8" s="38" t="str">
        <f t="shared" ref="Y8:Y19" si="2">TRIM(MID(P8, FIND(",", P8) + 1, LEN(P8)))</f>
        <v>#N/A</v>
      </c>
      <c r="Z8" s="3"/>
      <c r="AA8" s="3"/>
      <c r="AB8" s="3"/>
    </row>
    <row r="9">
      <c r="A9" s="1"/>
      <c r="B9" s="39"/>
      <c r="C9" s="23" t="s">
        <v>40</v>
      </c>
      <c r="D9" s="24" t="s">
        <v>31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IFERROR(__xludf.DUMMYFUNCTION("(VLOOKUP(J9,IMPORTRANGE(""https://docs.google.com/spreadsheets/d/1QfInhV6_YXjbJgeCXJ370Rz4ercnFoTR58xB4rzVAmY/edit?gid=1021743590#gid=1021743590"",""T2.2026!D4:I46""),6,0) &amp;"", ""&amp; TEXT(VLOOKUP(J9,IMPORTRANGE(""https://docs.google.com/spreadsheets/d/1QfIn"&amp;"hV6_YXjbJgeCXJ370Rz4ercnFoTR58xB4rzVAmY/edit?gid=1021743590#gid=1021743590"",""T2.2026!D4:I46""),5,0),""D/M/YYYY""))"),"#N/A")</f>
        <v>#N/A</v>
      </c>
      <c r="Q9" s="33" t="str">
        <f>IFERROR(__xludf.DUMMYFUNCTION("VLOOKUP(J9,IMPORTRANGE(""https://docs.google.com/spreadsheets/d/1QfInhV6_YXjbJgeCXJ370Rz4ercnFoTR58xB4rzVAmY/edit?gid=1021743590#gid=1021743590"",""T2.2026!D4:G46""),4,0)"),"#N/A")</f>
        <v>#N/A</v>
      </c>
      <c r="R9" s="25"/>
      <c r="S9" s="35"/>
      <c r="T9" s="35" t="str">
        <f t="shared" si="1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9" s="36" t="s">
        <v>44</v>
      </c>
      <c r="V9" s="35"/>
      <c r="W9" s="13"/>
      <c r="X9" s="37"/>
      <c r="Y9" s="38" t="str">
        <f t="shared" si="2"/>
        <v>#N/A</v>
      </c>
      <c r="Z9" s="3"/>
      <c r="AA9" s="3"/>
      <c r="AB9" s="3"/>
    </row>
    <row r="10">
      <c r="A10" s="1"/>
      <c r="B10" s="39"/>
      <c r="C10" s="23" t="s">
        <v>45</v>
      </c>
      <c r="D10" s="24" t="s">
        <v>31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IFERROR(__xludf.DUMMYFUNCTION("(VLOOKUP(J10,IMPORTRANGE(""https://docs.google.com/spreadsheets/d/1QfInhV6_YXjbJgeCXJ370Rz4ercnFoTR58xB4rzVAmY/edit?gid=1021743590#gid=1021743590"",""T2.2026!D4:I46""),6,0) &amp;"", ""&amp; TEXT(VLOOKUP(J10,IMPORTRANGE(""https://docs.google.com/spreadsheets/d/1Qf"&amp;"InhV6_YXjbJgeCXJ370Rz4ercnFoTR58xB4rzVAmY/edit?gid=1021743590#gid=1021743590"",""T2.2026!D4:I46""),5,0),""D/M/YYYY""))"),"#N/A")</f>
        <v>#N/A</v>
      </c>
      <c r="Q10" s="33" t="str">
        <f>IFERROR(__xludf.DUMMYFUNCTION("VLOOKUP(J10,IMPORTRANGE(""https://docs.google.com/spreadsheets/d/1QfInhV6_YXjbJgeCXJ370Rz4ercnFoTR58xB4rzVAmY/edit?gid=1021743590#gid=1021743590"",""T2.2026!D4:G46""),4,0)"),"#N/A")</f>
        <v>#N/A</v>
      </c>
      <c r="R10" s="25"/>
      <c r="S10" s="35"/>
      <c r="T10" s="35" t="str">
        <f t="shared" si="1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0" s="43" t="str">
        <f t="array" ref="U10">INDEX(C$37:C$40, MATCH(K10, D$37:D$40, 0))</f>
        <v>- Triển khai thực ĐATN, ĐACN
- 
- Các nhóm SV NCKH thực hiện theo tiến độ
- GVCN đôn đốc, nhắc nhở và liên hệ về gia đình SV nghỉ nhiều, nợ nhiều học phần
- </v>
      </c>
      <c r="V10" s="35"/>
      <c r="W10" s="13"/>
      <c r="X10" s="37"/>
      <c r="Y10" s="38" t="str">
        <f t="shared" si="2"/>
        <v>#N/A</v>
      </c>
      <c r="Z10" s="3"/>
      <c r="AA10" s="3"/>
      <c r="AB10" s="3"/>
    </row>
    <row r="11">
      <c r="A11" s="1"/>
      <c r="B11" s="39"/>
      <c r="C11" s="23" t="s">
        <v>49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53</v>
      </c>
      <c r="O11" s="44" t="s">
        <v>54</v>
      </c>
      <c r="P11" s="33" t="str">
        <f>IFERROR(__xludf.DUMMYFUNCTION("(VLOOKUP(J11,IMPORTRANGE(""https://docs.google.com/spreadsheets/d/1QfInhV6_YXjbJgeCXJ370Rz4ercnFoTR58xB4rzVAmY/edit?gid=1021743590#gid=1021743590"",""T2.2026!D4:I46""),6,0) &amp;"", ""&amp; TEXT(VLOOKUP(J11,IMPORTRANGE(""https://docs.google.com/spreadsheets/d/1Qf"&amp;"InhV6_YXjbJgeCXJ370Rz4ercnFoTR58xB4rzVAmY/edit?gid=1021743590#gid=1021743590"",""T2.2026!D4:I46""),5,0),""D/M/YYYY""))"),"#N/A")</f>
        <v>#N/A</v>
      </c>
      <c r="Q11" s="33" t="str">
        <f>IFERROR(__xludf.DUMMYFUNCTION("VLOOKUP(J11,IMPORTRANGE(""https://docs.google.com/spreadsheets/d/1QfInhV6_YXjbJgeCXJ370Rz4ercnFoTR58xB4rzVAmY/edit?gid=1021743590#gid=1021743590"",""T2.2026!D4:G46""),4,0)"),"#N/A")</f>
        <v>#N/A</v>
      </c>
      <c r="R11" s="30">
        <v>1.0</v>
      </c>
      <c r="S11" s="45" t="s">
        <v>55</v>
      </c>
      <c r="T11" s="45" t="s">
        <v>56</v>
      </c>
      <c r="U11" s="46" t="s">
        <v>57</v>
      </c>
      <c r="V11" s="45" t="s">
        <v>58</v>
      </c>
      <c r="W11" s="45" t="s">
        <v>58</v>
      </c>
      <c r="X11" s="47" t="s">
        <v>58</v>
      </c>
      <c r="Y11" s="38" t="str">
        <f t="shared" si="2"/>
        <v>#N/A</v>
      </c>
      <c r="Z11" s="3"/>
      <c r="AA11" s="3"/>
      <c r="AB11" s="3"/>
    </row>
    <row r="12">
      <c r="A12" s="1"/>
      <c r="B12" s="39"/>
      <c r="C12" s="23" t="s">
        <v>59</v>
      </c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IFERROR(__xludf.DUMMYFUNCTION("(VLOOKUP(J12,IMPORTRANGE(""https://docs.google.com/spreadsheets/d/1QfInhV6_YXjbJgeCXJ370Rz4ercnFoTR58xB4rzVAmY/edit?gid=1021743590#gid=1021743590"",""T2.2026!D4:I46""),6,0) &amp;"", ""&amp; TEXT(VLOOKUP(J12,IMPORTRANGE(""https://docs.google.com/spreadsheets/d/1Qf"&amp;"InhV6_YXjbJgeCXJ370Rz4ercnFoTR58xB4rzVAmY/edit?gid=1021743590#gid=1021743590"",""T2.2026!D4:I46""),5,0),""D/M/YYYY""))"),"#N/A")</f>
        <v>#N/A</v>
      </c>
      <c r="Q12" s="33" t="str">
        <f>IFERROR(__xludf.DUMMYFUNCTION("VLOOKUP(J12,IMPORTRANGE(""https://docs.google.com/spreadsheets/d/1QfInhV6_YXjbJgeCXJ370Rz4ercnFoTR58xB4rzVAmY/edit?gid=1021743590#gid=1021743590"",""T2.2026!D4:G46""),4,0)"),"#N/A")</f>
        <v>#N/A</v>
      </c>
      <c r="R12" s="25"/>
      <c r="T12" s="35" t="str">
        <f t="shared" ref="T12:T52" si="3">INDEX(C$20:C$23, MATCH(K12, D$20:D$23, 0))</f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2" s="43" t="str">
        <f t="shared" ref="U12:U27" si="4">INDEX(C$37:C$40, MATCH(K12, D$37:D$40, 0))</f>
        <v>- Triển khai thực ĐATN, ĐACN
- 
- Các nhóm SV NCKH thực hiện theo tiến độ
- GVCN đôn đốc, nhắc nhở và liên hệ về gia đình SV nghỉ nhiều, nợ nhiều học phần
- </v>
      </c>
      <c r="V12" s="35"/>
      <c r="W12" s="13"/>
      <c r="X12" s="37"/>
      <c r="Y12" s="38" t="str">
        <f t="shared" si="2"/>
        <v>#N/A</v>
      </c>
      <c r="Z12" s="3"/>
      <c r="AA12" s="3"/>
      <c r="AB12" s="3"/>
    </row>
    <row r="13">
      <c r="A13" s="1"/>
      <c r="B13" s="48"/>
      <c r="C13" s="23"/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IFERROR(__xludf.DUMMYFUNCTION("(VLOOKUP(J13,IMPORTRANGE(""https://docs.google.com/spreadsheets/d/1QfInhV6_YXjbJgeCXJ370Rz4ercnFoTR58xB4rzVAmY/edit?gid=1021743590#gid=1021743590"",""T2.2026!D4:I46""),6,0) &amp;"", ""&amp; TEXT(VLOOKUP(J13,IMPORTRANGE(""https://docs.google.com/spreadsheets/d/1Qf"&amp;"InhV6_YXjbJgeCXJ370Rz4ercnFoTR58xB4rzVAmY/edit?gid=1021743590#gid=1021743590"",""T2.2026!D4:I46""),5,0),""D/M/YYYY""))"),"#N/A")</f>
        <v>#N/A</v>
      </c>
      <c r="Q13" s="33" t="str">
        <f>IFERROR(__xludf.DUMMYFUNCTION("VLOOKUP(J13,IMPORTRANGE(""https://docs.google.com/spreadsheets/d/1QfInhV6_YXjbJgeCXJ370Rz4ercnFoTR58xB4rzVAmY/edit?gid=1021743590#gid=1021743590"",""T2.2026!D4:G46""),4,0)"),"#N/A")</f>
        <v>#N/A</v>
      </c>
      <c r="R13" s="25"/>
      <c r="S13" s="35"/>
      <c r="T13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3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3" s="35"/>
      <c r="W13" s="13"/>
      <c r="X13" s="37"/>
      <c r="Y13" s="38" t="str">
        <f t="shared" si="2"/>
        <v>#N/A</v>
      </c>
      <c r="Z13" s="3"/>
      <c r="AA13" s="3"/>
      <c r="AB13" s="3"/>
    </row>
    <row r="14">
      <c r="A14" s="1"/>
      <c r="B14" s="51" t="s">
        <v>65</v>
      </c>
      <c r="C14" s="23" t="s">
        <v>66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IFERROR(__xludf.DUMMYFUNCTION("(VLOOKUP(J14,IMPORTRANGE(""https://docs.google.com/spreadsheets/d/1QfInhV6_YXjbJgeCXJ370Rz4ercnFoTR58xB4rzVAmY/edit?gid=1021743590#gid=1021743590"",""T2.2026!D4:I46""),6,0) &amp;"", ""&amp; TEXT(VLOOKUP(J14,IMPORTRANGE(""https://docs.google.com/spreadsheets/d/1Qf"&amp;"InhV6_YXjbJgeCXJ370Rz4ercnFoTR58xB4rzVAmY/edit?gid=1021743590#gid=1021743590"",""T2.2026!D4:I46""),5,0),""D/M/YYYY""))"),"#N/A")</f>
        <v>#N/A</v>
      </c>
      <c r="Q14" s="33" t="str">
        <f>IFERROR(__xludf.DUMMYFUNCTION("VLOOKUP(J14,IMPORTRANGE(""https://docs.google.com/spreadsheets/d/1QfInhV6_YXjbJgeCXJ370Rz4ercnFoTR58xB4rzVAmY/edit?gid=1021743590#gid=1021743590"",""T2.2026!D4:G46""),4,0)"),"#N/A")</f>
        <v>#N/A</v>
      </c>
      <c r="R14" s="25"/>
      <c r="S14" s="35"/>
      <c r="T14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4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4" s="35"/>
      <c r="W14" s="13"/>
      <c r="X14" s="37"/>
      <c r="Y14" s="38" t="str">
        <f t="shared" si="2"/>
        <v>#N/A</v>
      </c>
      <c r="Z14" s="3"/>
      <c r="AA14" s="3"/>
      <c r="AB14" s="3"/>
    </row>
    <row r="15">
      <c r="A15" s="1"/>
      <c r="B15" s="39"/>
      <c r="C15" s="23" t="s">
        <v>68</v>
      </c>
      <c r="D15" s="24" t="s">
        <v>69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IFERROR(__xludf.DUMMYFUNCTION("(VLOOKUP(J15,IMPORTRANGE(""https://docs.google.com/spreadsheets/d/1QfInhV6_YXjbJgeCXJ370Rz4ercnFoTR58xB4rzVAmY/edit?gid=1021743590#gid=1021743590"",""T2.2026!D4:I46""),6,0) &amp;"", ""&amp; TEXT(VLOOKUP(J15,IMPORTRANGE(""https://docs.google.com/spreadsheets/d/1Qf"&amp;"InhV6_YXjbJgeCXJ370Rz4ercnFoTR58xB4rzVAmY/edit?gid=1021743590#gid=1021743590"",""T2.2026!D4:I46""),5,0),""D/M/YYYY""))"),"#N/A")</f>
        <v>#N/A</v>
      </c>
      <c r="Q15" s="33" t="str">
        <f>IFERROR(__xludf.DUMMYFUNCTION("VLOOKUP(J15,IMPORTRANGE(""https://docs.google.com/spreadsheets/d/1QfInhV6_YXjbJgeCXJ370Rz4ercnFoTR58xB4rzVAmY/edit?gid=1021743590#gid=1021743590"",""T2.2026!D4:G46""),4,0)"),"#N/A")</f>
        <v>#N/A</v>
      </c>
      <c r="R15" s="25"/>
      <c r="S15" s="35"/>
      <c r="T15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5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5" s="35"/>
      <c r="W15" s="13"/>
      <c r="X15" s="37"/>
      <c r="Y15" s="38" t="str">
        <f t="shared" si="2"/>
        <v>#N/A</v>
      </c>
      <c r="Z15" s="3"/>
      <c r="AA15" s="3"/>
      <c r="AB15" s="3"/>
    </row>
    <row r="16">
      <c r="A16" s="1"/>
      <c r="B16" s="39"/>
      <c r="C16" s="23"/>
      <c r="D16" s="24" t="s">
        <v>31</v>
      </c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IFERROR(__xludf.DUMMYFUNCTION("(VLOOKUP(J16,IMPORTRANGE(""https://docs.google.com/spreadsheets/d/1QfInhV6_YXjbJgeCXJ370Rz4ercnFoTR58xB4rzVAmY/edit?gid=1021743590#gid=1021743590"",""T2.2026!D4:I46""),6,0) &amp;"", ""&amp; TEXT(VLOOKUP(J16,IMPORTRANGE(""https://docs.google.com/spreadsheets/d/1Qf"&amp;"InhV6_YXjbJgeCXJ370Rz4ercnFoTR58xB4rzVAmY/edit?gid=1021743590#gid=1021743590"",""T2.2026!D4:I46""),5,0),""D/M/YYYY""))"),"#N/A")</f>
        <v>#N/A</v>
      </c>
      <c r="Q16" s="33" t="str">
        <f>IFERROR(__xludf.DUMMYFUNCTION("VLOOKUP(J16,IMPORTRANGE(""https://docs.google.com/spreadsheets/d/1QfInhV6_YXjbJgeCXJ370Rz4ercnFoTR58xB4rzVAmY/edit?gid=1021743590#gid=1021743590"",""T2.2026!D4:G46""),4,0)"),"#N/A")</f>
        <v>#N/A</v>
      </c>
      <c r="R16" s="25"/>
      <c r="S16" s="35"/>
      <c r="T16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6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6" s="35"/>
      <c r="W16" s="13"/>
      <c r="X16" s="37"/>
      <c r="Y16" s="38" t="str">
        <f t="shared" si="2"/>
        <v>#N/A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IFERROR(__xludf.DUMMYFUNCTION("(VLOOKUP(J17,IMPORTRANGE(""https://docs.google.com/spreadsheets/d/1QfInhV6_YXjbJgeCXJ370Rz4ercnFoTR58xB4rzVAmY/edit?gid=1021743590#gid=1021743590"",""T2.2026!D4:I46""),6,0) &amp;"", ""&amp; TEXT(VLOOKUP(J17,IMPORTRANGE(""https://docs.google.com/spreadsheets/d/1Qf"&amp;"InhV6_YXjbJgeCXJ370Rz4ercnFoTR58xB4rzVAmY/edit?gid=1021743590#gid=1021743590"",""T2.2026!D4:I46""),5,0),""D/M/YYYY""))"),"#N/A")</f>
        <v>#N/A</v>
      </c>
      <c r="Q17" s="33" t="str">
        <f>IFERROR(__xludf.DUMMYFUNCTION("VLOOKUP(J17,IMPORTRANGE(""https://docs.google.com/spreadsheets/d/1QfInhV6_YXjbJgeCXJ370Rz4ercnFoTR58xB4rzVAmY/edit?gid=1021743590#gid=1021743590"",""T2.2026!D4:G46""),4,0)"),"#N/A")</f>
        <v>#N/A</v>
      </c>
      <c r="R17" s="25"/>
      <c r="S17" s="35"/>
      <c r="T17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7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7" s="35"/>
      <c r="W17" s="13"/>
      <c r="X17" s="37"/>
      <c r="Y17" s="38" t="str">
        <f t="shared" si="2"/>
        <v>#N/A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6">
        <v>20.0</v>
      </c>
      <c r="N18" s="42" t="s">
        <v>79</v>
      </c>
      <c r="O18" s="42"/>
      <c r="P18" s="33" t="str">
        <f>IFERROR(__xludf.DUMMYFUNCTION("(VLOOKUP(J18,IMPORTRANGE(""https://docs.google.com/spreadsheets/d/1QfInhV6_YXjbJgeCXJ370Rz4ercnFoTR58xB4rzVAmY/edit?gid=1021743590#gid=1021743590"",""T2.2026!D4:I46""),6,0) &amp;"", ""&amp; TEXT(VLOOKUP(J18,IMPORTRANGE(""https://docs.google.com/spreadsheets/d/1Qf"&amp;"InhV6_YXjbJgeCXJ370Rz4ercnFoTR58xB4rzVAmY/edit?gid=1021743590#gid=1021743590"",""T2.2026!D4:I46""),5,0),""D/M/YYYY""))"),"7h45, 4/3/2026")</f>
        <v>7h45, 4/3/2026</v>
      </c>
      <c r="Q18" s="33" t="str">
        <f>IFERROR(__xludf.DUMMYFUNCTION("VLOOKUP(J18,IMPORTRANGE(""https://docs.google.com/spreadsheets/d/1QfInhV6_YXjbJgeCXJ370Rz4ercnFoTR58xB4rzVAmY/edit?gid=1021743590#gid=1021743590"",""T2.2026!D4:G46""),4,0)"),"ĐH205")</f>
        <v>ĐH205</v>
      </c>
      <c r="R18" s="25"/>
      <c r="S18" s="45" t="s">
        <v>80</v>
      </c>
      <c r="T18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8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8" s="35"/>
      <c r="W18" s="13"/>
      <c r="X18" s="37"/>
      <c r="Y18" s="38" t="str">
        <f t="shared" si="2"/>
        <v>4/3/2026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57" t="s">
        <v>81</v>
      </c>
      <c r="K19" s="5" t="s">
        <v>35</v>
      </c>
      <c r="L19" s="30" t="s">
        <v>78</v>
      </c>
      <c r="M19" s="56">
        <v>73.0</v>
      </c>
      <c r="N19" s="42" t="s">
        <v>82</v>
      </c>
      <c r="O19" s="42"/>
      <c r="P19" s="33" t="str">
        <f>IFERROR(__xludf.DUMMYFUNCTION("(VLOOKUP(J19,IMPORTRANGE(""https://docs.google.com/spreadsheets/d/1QfInhV6_YXjbJgeCXJ370Rz4ercnFoTR58xB4rzVAmY/edit?gid=1021743590#gid=1021743590"",""T2.2026!D4:I46""),6,0) &amp;"", ""&amp; TEXT(VLOOKUP(J19,IMPORTRANGE(""https://docs.google.com/spreadsheets/d/1Qf"&amp;"InhV6_YXjbJgeCXJ370Rz4ercnFoTR58xB4rzVAmY/edit?gid=1021743590#gid=1021743590"",""T2.2026!D4:I46""),5,0),""D/M/YYYY""))"),"11h00, 4/3/2026")</f>
        <v>11h00, 4/3/2026</v>
      </c>
      <c r="Q19" s="33" t="str">
        <f>IFERROR(__xludf.DUMMYFUNCTION("VLOOKUP(J19,IMPORTRANGE(""https://docs.google.com/spreadsheets/d/1QfInhV6_YXjbJgeCXJ370Rz4ercnFoTR58xB4rzVAmY/edit?gid=1021743590#gid=1021743590"",""T2.2026!D4:G46""),4,0)"),"ĐH413")</f>
        <v>ĐH413</v>
      </c>
      <c r="R19" s="25"/>
      <c r="S19" s="45" t="s">
        <v>83</v>
      </c>
      <c r="T19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19" s="43" t="str">
        <f t="shared" si="4"/>
        <v>- Triển khai thực ĐATN, ĐACN
- 
- Các nhóm SV NCKH thực hiện theo tiến độ
- GVCN đôn đốc, nhắc nhở và liên hệ về gia đình SV nghỉ nhiều, nợ nhiều học phần
- </v>
      </c>
      <c r="V19" s="35"/>
      <c r="W19" s="13"/>
      <c r="X19" s="37"/>
      <c r="Y19" s="38" t="str">
        <f t="shared" si="2"/>
        <v>4/3/2026</v>
      </c>
      <c r="Z19" s="3"/>
      <c r="AA19" s="3"/>
      <c r="AB19" s="3"/>
    </row>
    <row r="20" ht="118.5" customHeight="1">
      <c r="A20" s="1"/>
      <c r="B20" s="51" t="s">
        <v>84</v>
      </c>
      <c r="C20" s="58" t="str">
        <f>IFERROR(__xludf.DUMMYFUNCTION("JOIN(CHAR(10), FILTER(""- "" &amp; C$8:C$19, (D$8:D$19 = ""ALL"") + (D$8:D$19 = D20)))"),"-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")</f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IFERROR(__xludf.DUMMYFUNCTION("(VLOOKUP(J20,IMPORTRANGE(""https://docs.google.com/spreadsheets/d/1QfInhV6_YXjbJgeCXJ370Rz4ercnFoTR58xB4rzVAmY/edit?gid=1021743590#gid=1021743590"",""T2.2026!D4:I46""),6,0) &amp;"", ""&amp; TEXT(VLOOKUP(J20,IMPORTRANGE(""https://docs.google.com/spreadsheets/d/1Qf"&amp;"InhV6_YXjbJgeCXJ370Rz4ercnFoTR58xB4rzVAmY/edit?gid=1021743590#gid=1021743590"",""T2.2026!D4:I46""),5,0),""D/M/YYYY""))"),", 30/12/1899")</f>
        <v>, 30/12/1899</v>
      </c>
      <c r="Q20" s="33" t="str">
        <f>IFERROR(__xludf.DUMMYFUNCTION("VLOOKUP(J20,IMPORTRANGE(""https://docs.google.com/spreadsheets/d/1QfInhV6_YXjbJgeCXJ370Rz4ercnFoTR58xB4rzVAmY/edit?gid=1021743590#gid=1021743590"",""T2.2026!D4:G46""),4,0)"),"")</f>
        <v/>
      </c>
      <c r="R20" s="25"/>
      <c r="S20" s="35"/>
      <c r="T20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0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"&amp;"xét TN cho SV
- ")</f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IFERROR(__xludf.DUMMYFUNCTION("(VLOOKUP(J21,IMPORTRANGE(""https://docs.google.com/spreadsheets/d/1QfInhV6_YXjbJgeCXJ370Rz4ercnFoTR58xB4rzVAmY/edit?gid=1021743590#gid=1021743590"",""T2.2026!D4:I46""),6,0) &amp;"", ""&amp; TEXT(VLOOKUP(J21,IMPORTRANGE(""https://docs.google.com/spreadsheets/d/1Qf"&amp;"InhV6_YXjbJgeCXJ370Rz4ercnFoTR58xB4rzVAmY/edit?gid=1021743590#gid=1021743590"",""T2.2026!D4:I46""),5,0),""D/M/YYYY""))"),", 30/12/1899")</f>
        <v>, 30/12/1899</v>
      </c>
      <c r="Q21" s="33" t="str">
        <f>IFERROR(__xludf.DUMMYFUNCTION("VLOOKUP(J21,IMPORTRANGE(""https://docs.google.com/spreadsheets/d/1QfInhV6_YXjbJgeCXJ370Rz4ercnFoTR58xB4rzVAmY/edit?gid=1021743590#gid=1021743590"",""T2.2026!D4:G46""),4,0)"),"")</f>
        <v/>
      </c>
      <c r="R21" s="25"/>
      <c r="S21" s="35"/>
      <c r="T21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1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")</f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IFERROR(__xludf.DUMMYFUNCTION("(VLOOKUP(J22,IMPORTRANGE(""https://docs.google.com/spreadsheets/d/1QfInhV6_YXjbJgeCXJ370Rz4ercnFoTR58xB4rzVAmY/edit?gid=1021743590#gid=1021743590"",""T2.2026!D4:I46""),6,0) &amp;"", ""&amp; TEXT(VLOOKUP(J22,IMPORTRANGE(""https://docs.google.com/spreadsheets/d/1Qf"&amp;"InhV6_YXjbJgeCXJ370Rz4ercnFoTR58xB4rzVAmY/edit?gid=1021743590#gid=1021743590"",""T2.2026!D4:I46""),5,0),""D/M/YYYY""))"),"20h00, 2/3/2026")</f>
        <v>20h00, 2/3/2026</v>
      </c>
      <c r="Q22" s="33" t="str">
        <f>IFERROR(__xludf.DUMMYFUNCTION("VLOOKUP(J22,IMPORTRANGE(""https://docs.google.com/spreadsheets/d/1QfInhV6_YXjbJgeCXJ370Rz4ercnFoTR58xB4rzVAmY/edit?gid=1021743590#gid=1021743590"",""T2.2026!D4:G46""),4,0)"),"Online")</f>
        <v>Online</v>
      </c>
      <c r="R22" s="25"/>
      <c r="S22" s="35"/>
      <c r="T22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2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")</f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IFERROR(__xludf.DUMMYFUNCTION("(VLOOKUP(J23,IMPORTRANGE(""https://docs.google.com/spreadsheets/d/1QfInhV6_YXjbJgeCXJ370Rz4ercnFoTR58xB4rzVAmY/edit?gid=1021743590#gid=1021743590"",""T2.2026!D4:I46""),6,0) &amp;"", ""&amp; TEXT(VLOOKUP(J23,IMPORTRANGE(""https://docs.google.com/spreadsheets/d/1Qf"&amp;"InhV6_YXjbJgeCXJ370Rz4ercnFoTR58xB4rzVAmY/edit?gid=1021743590#gid=1021743590"",""T2.2026!D4:I46""),5,0),""D/M/YYYY""))"),", 30/12/1899")</f>
        <v>, 30/12/1899</v>
      </c>
      <c r="Q23" s="33" t="str">
        <f>IFERROR(__xludf.DUMMYFUNCTION("VLOOKUP(J23,IMPORTRANGE(""https://docs.google.com/spreadsheets/d/1QfInhV6_YXjbJgeCXJ370Rz4ercnFoTR58xB4rzVAmY/edit?gid=1021743590#gid=1021743590"",""T2.2026!D4:G46""),4,0)"),"")</f>
        <v/>
      </c>
      <c r="R23" s="25"/>
      <c r="S23" s="35"/>
      <c r="T23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3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3" s="35"/>
      <c r="W23" s="13"/>
      <c r="X23" s="37"/>
      <c r="Y23" s="38" t="str">
        <f t="shared" ref="Y23:Y55" si="5">TRIM(MID(P23, FIND(",", P23) + 1, LEN(P23)))</f>
        <v>30/12/1899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IFERROR(__xludf.DUMMYFUNCTION("(VLOOKUP(J24,IMPORTRANGE(""https://docs.google.com/spreadsheets/d/1QfInhV6_YXjbJgeCXJ370Rz4ercnFoTR58xB4rzVAmY/edit?gid=1021743590#gid=1021743590"",""T2.2026!D4:I46""),6,0) &amp;"", ""&amp; TEXT(VLOOKUP(J24,IMPORTRANGE(""https://docs.google.com/spreadsheets/d/1Qf"&amp;"InhV6_YXjbJgeCXJ370Rz4ercnFoTR58xB4rzVAmY/edit?gid=1021743590#gid=1021743590"",""T2.2026!D4:I46""),5,0),""D/M/YYYY""))"),", 30/12/1899")</f>
        <v>, 30/12/1899</v>
      </c>
      <c r="Q24" s="33" t="str">
        <f>IFERROR(__xludf.DUMMYFUNCTION("VLOOKUP(J24,IMPORTRANGE(""https://docs.google.com/spreadsheets/d/1QfInhV6_YXjbJgeCXJ370Rz4ercnFoTR58xB4rzVAmY/edit?gid=1021743590#gid=1021743590"",""T2.2026!D4:G46""),4,0)"),"")</f>
        <v/>
      </c>
      <c r="R24" s="25"/>
      <c r="S24" s="35"/>
      <c r="T24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4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4" s="35"/>
      <c r="W24" s="13"/>
      <c r="X24" s="37"/>
      <c r="Y24" s="38" t="str">
        <f t="shared" si="5"/>
        <v>30/12/1899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IFERROR(__xludf.DUMMYFUNCTION("(VLOOKUP(J25,IMPORTRANGE(""https://docs.google.com/spreadsheets/d/1QfInhV6_YXjbJgeCXJ370Rz4ercnFoTR58xB4rzVAmY/edit?gid=1021743590#gid=1021743590"",""T2.2026!D4:I46""),6,0) &amp;"", ""&amp; TEXT(VLOOKUP(J25,IMPORTRANGE(""https://docs.google.com/spreadsheets/d/1Qf"&amp;"InhV6_YXjbJgeCXJ370Rz4ercnFoTR58xB4rzVAmY/edit?gid=1021743590#gid=1021743590"",""T2.2026!D4:I46""),5,0),""D/M/YYYY""))"),", 30/12/1899")</f>
        <v>, 30/12/1899</v>
      </c>
      <c r="Q25" s="33" t="str">
        <f>IFERROR(__xludf.DUMMYFUNCTION("VLOOKUP(J25,IMPORTRANGE(""https://docs.google.com/spreadsheets/d/1QfInhV6_YXjbJgeCXJ370Rz4ercnFoTR58xB4rzVAmY/edit?gid=1021743590#gid=1021743590"",""T2.2026!D4:G46""),4,0)"),"")</f>
        <v/>
      </c>
      <c r="R25" s="25"/>
      <c r="S25" s="35"/>
      <c r="T25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5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5" s="35"/>
      <c r="W25" s="13"/>
      <c r="X25" s="37"/>
      <c r="Y25" s="38" t="str">
        <f t="shared" si="5"/>
        <v>30/12/1899</v>
      </c>
      <c r="Z25" s="3"/>
      <c r="AA25" s="3"/>
      <c r="AB25" s="3"/>
    </row>
    <row r="26">
      <c r="A26" s="65"/>
      <c r="B26" s="22"/>
      <c r="C26" s="23" t="s">
        <v>110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IFERROR(__xludf.DUMMYFUNCTION("(VLOOKUP(J26,IMPORTRANGE(""https://docs.google.com/spreadsheets/d/1QfInhV6_YXjbJgeCXJ370Rz4ercnFoTR58xB4rzVAmY/edit?gid=1021743590#gid=1021743590"",""T2.2026!D4:I46""),6,0) &amp;"", ""&amp; TEXT(VLOOKUP(J26,IMPORTRANGE(""https://docs.google.com/spreadsheets/d/1Qf"&amp;"InhV6_YXjbJgeCXJ370Rz4ercnFoTR58xB4rzVAmY/edit?gid=1021743590#gid=1021743590"",""T2.2026!D4:I46""),5,0),""D/M/YYYY""))"),", 30/12/1899")</f>
        <v>, 30/12/1899</v>
      </c>
      <c r="Q26" s="33" t="str">
        <f>IFERROR(__xludf.DUMMYFUNCTION("VLOOKUP(J26,IMPORTRANGE(""https://docs.google.com/spreadsheets/d/1QfInhV6_YXjbJgeCXJ370Rz4ercnFoTR58xB4rzVAmY/edit?gid=1021743590#gid=1021743590"",""T2.2026!D4:G46""),4,0)"),"")</f>
        <v/>
      </c>
      <c r="R26" s="25"/>
      <c r="S26" s="35"/>
      <c r="T26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6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6" s="35"/>
      <c r="W26" s="13"/>
      <c r="X26" s="37"/>
      <c r="Y26" s="38" t="str">
        <f t="shared" si="5"/>
        <v>30/12/1899</v>
      </c>
      <c r="Z26" s="3"/>
      <c r="AA26" s="3"/>
      <c r="AB26" s="3"/>
    </row>
    <row r="27">
      <c r="A27" s="65"/>
      <c r="B27" s="39"/>
      <c r="C27" s="23"/>
      <c r="D27" s="24" t="s">
        <v>31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IFERROR(__xludf.DUMMYFUNCTION("(VLOOKUP(J27,IMPORTRANGE(""https://docs.google.com/spreadsheets/d/1QfInhV6_YXjbJgeCXJ370Rz4ercnFoTR58xB4rzVAmY/edit?gid=1021743590#gid=1021743590"",""T2.2026!D4:I46""),6,0) &amp;"", ""&amp; TEXT(VLOOKUP(J27,IMPORTRANGE(""https://docs.google.com/spreadsheets/d/1Qf"&amp;"InhV6_YXjbJgeCXJ370Rz4ercnFoTR58xB4rzVAmY/edit?gid=1021743590#gid=1021743590"",""T2.2026!D4:I46""),5,0),""D/M/YYYY""))"),", 30/12/1899")</f>
        <v>, 30/12/1899</v>
      </c>
      <c r="Q27" s="33" t="str">
        <f>IFERROR(__xludf.DUMMYFUNCTION("VLOOKUP(J27,IMPORTRANGE(""https://docs.google.com/spreadsheets/d/1QfInhV6_YXjbJgeCXJ370Rz4ercnFoTR58xB4rzVAmY/edit?gid=1021743590#gid=1021743590"",""T2.2026!D4:G46""),4,0)"),"")</f>
        <v/>
      </c>
      <c r="R27" s="25"/>
      <c r="S27" s="45" t="s">
        <v>117</v>
      </c>
      <c r="T27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7" s="43" t="str">
        <f t="shared" si="4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7" s="35"/>
      <c r="W27" s="13"/>
      <c r="X27" s="37"/>
      <c r="Y27" s="38" t="str">
        <f t="shared" si="5"/>
        <v>30/12/1899</v>
      </c>
      <c r="Z27" s="3"/>
      <c r="AA27" s="3"/>
      <c r="AB27" s="3"/>
    </row>
    <row r="28">
      <c r="A28" s="65"/>
      <c r="B28" s="39"/>
      <c r="C28" s="23"/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IFERROR(__xludf.DUMMYFUNCTION("(VLOOKUP(J28,IMPORTRANGE(""https://docs.google.com/spreadsheets/d/1QfInhV6_YXjbJgeCXJ370Rz4ercnFoTR58xB4rzVAmY/edit?gid=1021743590#gid=1021743590"",""T2.2026!D4:I46""),6,0) &amp;"", ""&amp; TEXT(VLOOKUP(J28,IMPORTRANGE(""https://docs.google.com/spreadsheets/d/1Qf"&amp;"InhV6_YXjbJgeCXJ370Rz4ercnFoTR58xB4rzVAmY/edit?gid=1021743590#gid=1021743590"",""T2.2026!D4:I46""),5,0),""D/M/YYYY""))"),", 30/12/1899")</f>
        <v>, 30/12/1899</v>
      </c>
      <c r="Q28" s="33" t="str">
        <f>IFERROR(__xludf.DUMMYFUNCTION("VLOOKUP(J28,IMPORTRANGE(""https://docs.google.com/spreadsheets/d/1QfInhV6_YXjbJgeCXJ370Rz4ercnFoTR58xB4rzVAmY/edit?gid=1021743590#gid=1021743590"",""T2.2026!D4:G46""),4,0)"),"")</f>
        <v/>
      </c>
      <c r="R28" s="25"/>
      <c r="S28" s="68" t="s">
        <v>122</v>
      </c>
      <c r="T28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8" s="69" t="s">
        <v>123</v>
      </c>
      <c r="V28" s="45" t="s">
        <v>58</v>
      </c>
      <c r="W28" s="70" t="s">
        <v>58</v>
      </c>
      <c r="X28" s="47" t="s">
        <v>58</v>
      </c>
      <c r="Y28" s="38" t="str">
        <f t="shared" si="5"/>
        <v>30/12/1899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IFERROR(__xludf.DUMMYFUNCTION("(VLOOKUP(J29,IMPORTRANGE(""https://docs.google.com/spreadsheets/d/1QfInhV6_YXjbJgeCXJ370Rz4ercnFoTR58xB4rzVAmY/edit?gid=1021743590#gid=1021743590"",""T2.2026!D4:I46""),6,0) &amp;"", ""&amp; TEXT(VLOOKUP(J29,IMPORTRANGE(""https://docs.google.com/spreadsheets/d/1Qf"&amp;"InhV6_YXjbJgeCXJ370Rz4ercnFoTR58xB4rzVAmY/edit?gid=1021743590#gid=1021743590"",""T2.2026!D4:I46""),5,0),""D/M/YYYY""))"),", 30/12/1899")</f>
        <v>, 30/12/1899</v>
      </c>
      <c r="Q29" s="33" t="str">
        <f>IFERROR(__xludf.DUMMYFUNCTION("VLOOKUP(J29,IMPORTRANGE(""https://docs.google.com/spreadsheets/d/1QfInhV6_YXjbJgeCXJ370Rz4ercnFoTR58xB4rzVAmY/edit?gid=1021743590#gid=1021743590"",""T2.2026!D4:G46""),4,0)"),"")</f>
        <v/>
      </c>
      <c r="R29" s="25"/>
      <c r="S29" s="35"/>
      <c r="T29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29" s="43" t="str">
        <f t="shared" ref="U29:U52" si="6">INDEX(C$37:C$40, MATCH(K29, D$37:D$40, 0))</f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9" s="35"/>
      <c r="W29" s="13"/>
      <c r="X29" s="37"/>
      <c r="Y29" s="38" t="str">
        <f t="shared" si="5"/>
        <v>30/12/1899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IFERROR(__xludf.DUMMYFUNCTION("(VLOOKUP(J30,IMPORTRANGE(""https://docs.google.com/spreadsheets/d/1QfInhV6_YXjbJgeCXJ370Rz4ercnFoTR58xB4rzVAmY/edit?gid=1021743590#gid=1021743590"",""T2.2026!D4:I46""),6,0) &amp;"", ""&amp; TEXT(VLOOKUP(J30,IMPORTRANGE(""https://docs.google.com/spreadsheets/d/1Qf"&amp;"InhV6_YXjbJgeCXJ370Rz4ercnFoTR58xB4rzVAmY/edit?gid=1021743590#gid=1021743590"",""T2.2026!D4:I46""),5,0),""D/M/YYYY""))"),"20h15, 2/3/2026")</f>
        <v>20h15, 2/3/2026</v>
      </c>
      <c r="Q30" s="33" t="str">
        <f>IFERROR(__xludf.DUMMYFUNCTION("VLOOKUP(J30,IMPORTRANGE(""https://docs.google.com/spreadsheets/d/1QfInhV6_YXjbJgeCXJ370Rz4ercnFoTR58xB4rzVAmY/edit?gid=1021743590#gid=1021743590"",""T2.2026!D4:G46""),4,0)"),"Online")</f>
        <v>Online</v>
      </c>
      <c r="R30" s="25"/>
      <c r="S30" s="45" t="s">
        <v>129</v>
      </c>
      <c r="T30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30" s="43" t="str">
        <f t="shared" si="6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0" s="35"/>
      <c r="W30" s="13"/>
      <c r="X30" s="47" t="s">
        <v>130</v>
      </c>
      <c r="Y30" s="38" t="str">
        <f t="shared" si="5"/>
        <v>2/3/2026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IFERROR(__xludf.DUMMYFUNCTION("(VLOOKUP(J31,IMPORTRANGE(""https://docs.google.com/spreadsheets/d/1QfInhV6_YXjbJgeCXJ370Rz4ercnFoTR58xB4rzVAmY/edit?gid=1021743590#gid=1021743590"",""T2.2026!D4:I46""),6,0) &amp;"", ""&amp; TEXT(VLOOKUP(J31,IMPORTRANGE(""https://docs.google.com/spreadsheets/d/1Qf"&amp;"InhV6_YXjbJgeCXJ370Rz4ercnFoTR58xB4rzVAmY/edit?gid=1021743590#gid=1021743590"",""T2.2026!D4:I46""),5,0),""D/M/YYYY""))"),"#N/A")</f>
        <v>#N/A</v>
      </c>
      <c r="Q31" s="33" t="str">
        <f>IFERROR(__xludf.DUMMYFUNCTION("VLOOKUP(J31,IMPORTRANGE(""https://docs.google.com/spreadsheets/d/1QfInhV6_YXjbJgeCXJ370Rz4ercnFoTR58xB4rzVAmY/edit?gid=1021743590#gid=1021743590"",""T2.2026!D4:G46""),4,0)"),"#N/A")</f>
        <v>#N/A</v>
      </c>
      <c r="R31" s="25"/>
      <c r="S31" s="35"/>
      <c r="T31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Triển khai xét TN cho SV
- </v>
      </c>
      <c r="U31" s="43" t="str">
        <f t="shared" si="6"/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1" s="35"/>
      <c r="W31" s="13"/>
      <c r="X31" s="37"/>
      <c r="Y31" s="38" t="str">
        <f t="shared" si="5"/>
        <v>#N/A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IFERROR(__xludf.DUMMYFUNCTION("(VLOOKUP(J32,IMPORTRANGE(""https://docs.google.com/spreadsheets/d/1QfInhV6_YXjbJgeCXJ370Rz4ercnFoTR58xB4rzVAmY/edit?gid=1021743590#gid=1021743590"",""T2.2026!D4:I46""),6,0) &amp;"", ""&amp; TEXT(VLOOKUP(J32,IMPORTRANGE(""https://docs.google.com/spreadsheets/d/1Qf"&amp;"InhV6_YXjbJgeCXJ370Rz4ercnFoTR58xB4rzVAmY/edit?gid=1021743590#gid=1021743590"",""T2.2026!D4:I46""),5,0),""D/M/YYYY""))"),", 30/12/1899")</f>
        <v>, 30/12/1899</v>
      </c>
      <c r="Q32" s="33" t="str">
        <f>IFERROR(__xludf.DUMMYFUNCTION("VLOOKUP(J32,IMPORTRANGE(""https://docs.google.com/spreadsheets/d/1QfInhV6_YXjbJgeCXJ370Rz4ercnFoTR58xB4rzVAmY/edit?gid=1021743590#gid=1021743590"",""T2.2026!D4:G46""),4,0)"),"")</f>
        <v/>
      </c>
      <c r="R32" s="25"/>
      <c r="S32" s="35"/>
      <c r="T32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2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2" s="35"/>
      <c r="W32" s="13"/>
      <c r="X32" s="37"/>
      <c r="Y32" s="38" t="str">
        <f t="shared" si="5"/>
        <v>30/12/1899</v>
      </c>
      <c r="Z32" s="3"/>
      <c r="AA32" s="3"/>
      <c r="AB32" s="3"/>
    </row>
    <row r="33">
      <c r="A33" s="65"/>
      <c r="B33" s="39"/>
      <c r="C33" s="23" t="s">
        <v>138</v>
      </c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IFERROR(__xludf.DUMMYFUNCTION("(VLOOKUP(J33,IMPORTRANGE(""https://docs.google.com/spreadsheets/d/1QfInhV6_YXjbJgeCXJ370Rz4ercnFoTR58xB4rzVAmY/edit?gid=1021743590#gid=1021743590"",""T2.2026!D4:I46""),6,0) &amp;"", ""&amp; TEXT(VLOOKUP(J33,IMPORTRANGE(""https://docs.google.com/spreadsheets/d/1Qf"&amp;"InhV6_YXjbJgeCXJ370Rz4ercnFoTR58xB4rzVAmY/edit?gid=1021743590#gid=1021743590"",""T2.2026!D4:I46""),5,0),""D/M/YYYY""))"),", 30/12/1899")</f>
        <v>, 30/12/1899</v>
      </c>
      <c r="Q33" s="33" t="str">
        <f>IFERROR(__xludf.DUMMYFUNCTION("VLOOKUP(J33,IMPORTRANGE(""https://docs.google.com/spreadsheets/d/1QfInhV6_YXjbJgeCXJ370Rz4ercnFoTR58xB4rzVAmY/edit?gid=1021743590#gid=1021743590"",""T2.2026!D4:G46""),4,0)"),"")</f>
        <v/>
      </c>
      <c r="R33" s="25"/>
      <c r="S33" s="35"/>
      <c r="T33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3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3" s="35"/>
      <c r="W33" s="13"/>
      <c r="X33" s="37"/>
      <c r="Y33" s="38" t="str">
        <f t="shared" si="5"/>
        <v>30/12/1899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IFERROR(__xludf.DUMMYFUNCTION("(VLOOKUP(J34,IMPORTRANGE(""https://docs.google.com/spreadsheets/d/1QfInhV6_YXjbJgeCXJ370Rz4ercnFoTR58xB4rzVAmY/edit?gid=1021743590#gid=1021743590"",""T2.2026!D4:I46""),6,0) &amp;"", ""&amp; TEXT(VLOOKUP(J34,IMPORTRANGE(""https://docs.google.com/spreadsheets/d/1Qf"&amp;"InhV6_YXjbJgeCXJ370Rz4ercnFoTR58xB4rzVAmY/edit?gid=1021743590#gid=1021743590"",""T2.2026!D4:I46""),5,0),""D/M/YYYY""))"),", 30/12/1899")</f>
        <v>, 30/12/1899</v>
      </c>
      <c r="Q34" s="33" t="str">
        <f>IFERROR(__xludf.DUMMYFUNCTION("VLOOKUP(J34,IMPORTRANGE(""https://docs.google.com/spreadsheets/d/1QfInhV6_YXjbJgeCXJ370Rz4ercnFoTR58xB4rzVAmY/edit?gid=1021743590#gid=1021743590"",""T2.2026!D4:G46""),4,0)"),"")</f>
        <v/>
      </c>
      <c r="R34" s="25"/>
      <c r="S34" s="35"/>
      <c r="T34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4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4" s="35"/>
      <c r="W34" s="13"/>
      <c r="X34" s="37"/>
      <c r="Y34" s="38" t="str">
        <f t="shared" si="5"/>
        <v>30/12/1899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IFERROR(__xludf.DUMMYFUNCTION("(VLOOKUP(J35,IMPORTRANGE(""https://docs.google.com/spreadsheets/d/1QfInhV6_YXjbJgeCXJ370Rz4ercnFoTR58xB4rzVAmY/edit?gid=1021743590#gid=1021743590"",""T2.2026!D4:I46""),6,0) &amp;"", ""&amp; TEXT(VLOOKUP(J35,IMPORTRANGE(""https://docs.google.com/spreadsheets/d/1Qf"&amp;"InhV6_YXjbJgeCXJ370Rz4ercnFoTR58xB4rzVAmY/edit?gid=1021743590#gid=1021743590"",""T2.2026!D4:I46""),5,0),""D/M/YYYY""))"),"11h00, 29/1/2026")</f>
        <v>11h00, 29/1/2026</v>
      </c>
      <c r="Q35" s="33" t="str">
        <f>IFERROR(__xludf.DUMMYFUNCTION("VLOOKUP(J35,IMPORTRANGE(""https://docs.google.com/spreadsheets/d/1QfInhV6_YXjbJgeCXJ370Rz4ercnFoTR58xB4rzVAmY/edit?gid=1021743590#gid=1021743590"",""T2.2026!D4:G46""),4,0)"),"ĐH302")</f>
        <v>ĐH302</v>
      </c>
      <c r="R35" s="25"/>
      <c r="S35" s="35"/>
      <c r="T35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5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5" s="35"/>
      <c r="W35" s="13"/>
      <c r="X35" s="37"/>
      <c r="Y35" s="38" t="str">
        <f t="shared" si="5"/>
        <v>29/1/2026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IFERROR(__xludf.DUMMYFUNCTION("(VLOOKUP(J36,IMPORTRANGE(""https://docs.google.com/spreadsheets/d/1QfInhV6_YXjbJgeCXJ370Rz4ercnFoTR58xB4rzVAmY/edit?gid=1021743590#gid=1021743590"",""T2.2026!D4:I46""),6,0) &amp;"", ""&amp; TEXT(VLOOKUP(J36,IMPORTRANGE(""https://docs.google.com/spreadsheets/d/1Qf"&amp;"InhV6_YXjbJgeCXJ370Rz4ercnFoTR58xB4rzVAmY/edit?gid=1021743590#gid=1021743590"",""T2.2026!D4:I46""),5,0),""D/M/YYYY""))"),"11h00, 27/1/2026")</f>
        <v>11h00, 27/1/2026</v>
      </c>
      <c r="Q36" s="33" t="str">
        <f>IFERROR(__xludf.DUMMYFUNCTION("VLOOKUP(J36,IMPORTRANGE(""https://docs.google.com/spreadsheets/d/1QfInhV6_YXjbJgeCXJ370Rz4ercnFoTR58xB4rzVAmY/edit?gid=1021743590#gid=1021743590"",""T2.2026!D4:G46""),4,0)"),"ĐH206")</f>
        <v>ĐH206</v>
      </c>
      <c r="R36" s="25"/>
      <c r="S36" s="35"/>
      <c r="T36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6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6" s="35"/>
      <c r="W36" s="13"/>
      <c r="X36" s="37"/>
      <c r="Y36" s="38" t="str">
        <f t="shared" si="5"/>
        <v>27/1/2026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thực ĐATN, ĐACN
- 
- Các nhóm SV NCKH thực hiện theo tiến độ
- GVCN đôn đốc, nhắc nhở và liên hệ về gia đình SV nghỉ nhiều, nợ nhiều học phần
- ")</f>
        <v>- Triển khai thực ĐATN, ĐACN
- 
- Các nhóm SV NCKH thực hiện theo tiến độ
- GVCN đôn đốc, nhắc nhở và liên hệ về gia đình SV nghỉ nhiều, nợ nhiều học phần
- </v>
      </c>
      <c r="D37" s="24" t="s">
        <v>35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IFERROR(__xludf.DUMMYFUNCTION("(VLOOKUP(J37,IMPORTRANGE(""https://docs.google.com/spreadsheets/d/1QfInhV6_YXjbJgeCXJ370Rz4ercnFoTR58xB4rzVAmY/edit?gid=1021743590#gid=1021743590"",""T2.2026!D4:I46""),6,0) &amp;"", ""&amp; TEXT(VLOOKUP(J37,IMPORTRANGE(""https://docs.google.com/spreadsheets/d/1Qf"&amp;"InhV6_YXjbJgeCXJ370Rz4ercnFoTR58xB4rzVAmY/edit?gid=1021743590#gid=1021743590"",""T2.2026!D4:I46""),5,0),""D/M/YYYY""))"),", 30/12/1899")</f>
        <v>, 30/12/1899</v>
      </c>
      <c r="Q37" s="33" t="str">
        <f>IFERROR(__xludf.DUMMYFUNCTION("VLOOKUP(J37,IMPORTRANGE(""https://docs.google.com/spreadsheets/d/1QfInhV6_YXjbJgeCXJ370Rz4ercnFoTR58xB4rzVAmY/edit?gid=1021743590#gid=1021743590"",""T2.2026!D4:G46""),4,0)"),"")</f>
        <v/>
      </c>
      <c r="R37" s="25"/>
      <c r="S37" s="45"/>
      <c r="T37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7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7" s="45" t="s">
        <v>150</v>
      </c>
      <c r="W37" s="70" t="s">
        <v>150</v>
      </c>
      <c r="X37" s="47" t="s">
        <v>151</v>
      </c>
      <c r="Y37" s="38" t="str">
        <f t="shared" si="5"/>
        <v>30/12/1899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")</f>
        <v>- Triển khai thực ĐATN, ĐACN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IFERROR(__xludf.DUMMYFUNCTION("(VLOOKUP(J38,IMPORTRANGE(""https://docs.google.com/spreadsheets/d/1QfInhV6_YXjbJgeCXJ370Rz4ercnFoTR58xB4rzVAmY/edit?gid=1021743590#gid=1021743590"",""T2.2026!D4:I46""),6,0) &amp;"", ""&amp; TEXT(VLOOKUP(J38,IMPORTRANGE(""https://docs.google.com/spreadsheets/d/1Qf"&amp;"InhV6_YXjbJgeCXJ370Rz4ercnFoTR58xB4rzVAmY/edit?gid=1021743590#gid=1021743590"",""T2.2026!D4:I46""),5,0),""D/M/YYYY""))"),", 30/12/1899")</f>
        <v>, 30/12/1899</v>
      </c>
      <c r="Q38" s="33" t="str">
        <f>IFERROR(__xludf.DUMMYFUNCTION("VLOOKUP(J38,IMPORTRANGE(""https://docs.google.com/spreadsheets/d/1QfInhV6_YXjbJgeCXJ370Rz4ercnFoTR58xB4rzVAmY/edit?gid=1021743590#gid=1021743590"",""T2.2026!D4:G46""),4,0)"),"")</f>
        <v/>
      </c>
      <c r="R38" s="25"/>
      <c r="S38" s="45"/>
      <c r="T38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8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8" s="45" t="s">
        <v>150</v>
      </c>
      <c r="W38" s="70" t="s">
        <v>150</v>
      </c>
      <c r="X38" s="47" t="s">
        <v>151</v>
      </c>
      <c r="Y38" s="38" t="str">
        <f t="shared" si="5"/>
        <v>30/12/1899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thực ĐATN, ĐACN
- 
- Các nhóm SV NCKH thực hiện theo tiến độ
- GVCN đôn đốc, nhắc nhở và liên hệ về gia đình SV nghỉ nhiều, nợ nhiều học phần
- ")</f>
        <v>- Triển khai thực ĐATN, ĐACN
- 
- Các nhóm SV NCKH thực hiện theo tiến độ
- GVCN đôn đốc, nhắc nhở và liên hệ về gia đình SV nghỉ nhiều, nợ nhiều học phần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IFERROR(__xludf.DUMMYFUNCTION("(VLOOKUP(J39,IMPORTRANGE(""https://docs.google.com/spreadsheets/d/1QfInhV6_YXjbJgeCXJ370Rz4ercnFoTR58xB4rzVAmY/edit?gid=1021743590#gid=1021743590"",""T2.2026!D4:I46""),6,0) &amp;"", ""&amp; TEXT(VLOOKUP(J39,IMPORTRANGE(""https://docs.google.com/spreadsheets/d/1Qf"&amp;"InhV6_YXjbJgeCXJ370Rz4ercnFoTR58xB4rzVAmY/edit?gid=1021743590#gid=1021743590"",""T2.2026!D4:I46""),5,0),""D/M/YYYY""))"),", 30/12/1899")</f>
        <v>, 30/12/1899</v>
      </c>
      <c r="Q39" s="33" t="str">
        <f>IFERROR(__xludf.DUMMYFUNCTION("VLOOKUP(J39,IMPORTRANGE(""https://docs.google.com/spreadsheets/d/1QfInhV6_YXjbJgeCXJ370Rz4ercnFoTR58xB4rzVAmY/edit?gid=1021743590#gid=1021743590"",""T2.2026!D4:G46""),4,0)"),"")</f>
        <v/>
      </c>
      <c r="R39" s="25"/>
      <c r="S39" s="35"/>
      <c r="T39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39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39" s="45" t="s">
        <v>150</v>
      </c>
      <c r="W39" s="70" t="s">
        <v>150</v>
      </c>
      <c r="X39" s="47" t="s">
        <v>156</v>
      </c>
      <c r="Y39" s="38" t="str">
        <f t="shared" si="5"/>
        <v>30/12/1899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thực ĐATN, ĐACN
- 
- Các nhóm SV NCKH thực hiện theo tiến độ
- GVCN đôn đốc, nhắc nhở và liên hệ về gia đình SV nghỉ nhiều, nợ nhiều học phần
- ")</f>
        <v>- Triển khai thực ĐATN, ĐACN
- 
- Các nhóm SV NCKH thực hiện theo tiến độ
- GVCN đôn đốc, nhắc nhở và liên hệ về gia đình SV nghỉ nhiều, nợ nhiều học phần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IFERROR(__xludf.DUMMYFUNCTION("(VLOOKUP(J40,IMPORTRANGE(""https://docs.google.com/spreadsheets/d/1QfInhV6_YXjbJgeCXJ370Rz4ercnFoTR58xB4rzVAmY/edit?gid=1021743590#gid=1021743590"",""T2.2026!D4:I46""),6,0) &amp;"", ""&amp; TEXT(VLOOKUP(J40,IMPORTRANGE(""https://docs.google.com/spreadsheets/d/1Qf"&amp;"InhV6_YXjbJgeCXJ370Rz4ercnFoTR58xB4rzVAmY/edit?gid=1021743590#gid=1021743590"",""T2.2026!D4:I46""),5,0),""D/M/YYYY""))"),", 30/12/1899")</f>
        <v>, 30/12/1899</v>
      </c>
      <c r="Q40" s="33" t="str">
        <f>IFERROR(__xludf.DUMMYFUNCTION("VLOOKUP(J40,IMPORTRANGE(""https://docs.google.com/spreadsheets/d/1QfInhV6_YXjbJgeCXJ370Rz4ercnFoTR58xB4rzVAmY/edit?gid=1021743590#gid=1021743590"",""T2.2026!D4:G46""),4,0)"),"")</f>
        <v/>
      </c>
      <c r="R40" s="25"/>
      <c r="S40" s="45"/>
      <c r="T40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0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0" s="45" t="s">
        <v>150</v>
      </c>
      <c r="W40" s="70" t="s">
        <v>150</v>
      </c>
      <c r="X40" s="47" t="s">
        <v>151</v>
      </c>
      <c r="Y40" s="38" t="str">
        <f t="shared" si="5"/>
        <v>30/12/1899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IFERROR(__xludf.DUMMYFUNCTION("(VLOOKUP(J41,IMPORTRANGE(""https://docs.google.com/spreadsheets/d/1QfInhV6_YXjbJgeCXJ370Rz4ercnFoTR58xB4rzVAmY/edit?gid=1021743590#gid=1021743590"",""T2.2026!D4:I46""),6,0) &amp;"", ""&amp; TEXT(VLOOKUP(J41,IMPORTRANGE(""https://docs.google.com/spreadsheets/d/1Qf"&amp;"InhV6_YXjbJgeCXJ370Rz4ercnFoTR58xB4rzVAmY/edit?gid=1021743590#gid=1021743590"",""T2.2026!D4:I46""),5,0),""D/M/YYYY""))"),"17h00, 2/3/2026")</f>
        <v>17h00, 2/3/2026</v>
      </c>
      <c r="Q41" s="33" t="str">
        <f>IFERROR(__xludf.DUMMYFUNCTION("VLOOKUP(J41,IMPORTRANGE(""https://docs.google.com/spreadsheets/d/1QfInhV6_YXjbJgeCXJ370Rz4ercnFoTR58xB4rzVAmY/edit?gid=1021743590#gid=1021743590"",""T2.2026!D4:G46""),4,0)"),"ĐH206")</f>
        <v>ĐH206</v>
      </c>
      <c r="R41" s="25"/>
      <c r="S41" s="45" t="s">
        <v>162</v>
      </c>
      <c r="T41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1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1" s="35"/>
      <c r="W41" s="13"/>
      <c r="X41" s="47" t="s">
        <v>130</v>
      </c>
      <c r="Y41" s="38" t="str">
        <f t="shared" si="5"/>
        <v>2/3/2026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9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IFERROR(__xludf.DUMMYFUNCTION("(VLOOKUP(J42,IMPORTRANGE(""https://docs.google.com/spreadsheets/d/1QfInhV6_YXjbJgeCXJ370Rz4ercnFoTR58xB4rzVAmY/edit?gid=1021743590#gid=1021743590"",""T2.2026!D4:I46""),6,0) &amp;"", ""&amp; TEXT(VLOOKUP(J42,IMPORTRANGE(""https://docs.google.com/spreadsheets/d/1Qf"&amp;"InhV6_YXjbJgeCXJ370Rz4ercnFoTR58xB4rzVAmY/edit?gid=1021743590#gid=1021743590"",""T2.2026!D4:I46""),5,0),""D/M/YYYY""))"),"#N/A")</f>
        <v>#N/A</v>
      </c>
      <c r="Q42" s="33" t="str">
        <f>IFERROR(__xludf.DUMMYFUNCTION("VLOOKUP(J42,IMPORTRANGE(""https://docs.google.com/spreadsheets/d/1QfInhV6_YXjbJgeCXJ370Rz4ercnFoTR58xB4rzVAmY/edit?gid=1021743590#gid=1021743590"",""T2.2026!D4:G46""),4,0)"),"#N/A")</f>
        <v>#N/A</v>
      </c>
      <c r="R42" s="25"/>
      <c r="S42" s="35"/>
      <c r="T42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2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2" s="35"/>
      <c r="W42" s="13"/>
      <c r="X42" s="37"/>
      <c r="Y42" s="38" t="str">
        <f t="shared" si="5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IFERROR(__xludf.DUMMYFUNCTION("(VLOOKUP(J43,IMPORTRANGE(""https://docs.google.com/spreadsheets/d/1QfInhV6_YXjbJgeCXJ370Rz4ercnFoTR58xB4rzVAmY/edit?gid=1021743590#gid=1021743590"",""T2.2026!D4:I46""),6,0) &amp;"", ""&amp; TEXT(VLOOKUP(J43,IMPORTRANGE(""https://docs.google.com/spreadsheets/d/1Qf"&amp;"InhV6_YXjbJgeCXJ370Rz4ercnFoTR58xB4rzVAmY/edit?gid=1021743590#gid=1021743590"",""T2.2026!D4:I46""),5,0),""D/M/YYYY""))"),"11h00, 4/3/2026")</f>
        <v>11h00, 4/3/2026</v>
      </c>
      <c r="Q43" s="33" t="str">
        <f>IFERROR(__xludf.DUMMYFUNCTION("VLOOKUP(J43,IMPORTRANGE(""https://docs.google.com/spreadsheets/d/1QfInhV6_YXjbJgeCXJ370Rz4ercnFoTR58xB4rzVAmY/edit?gid=1021743590#gid=1021743590"",""T2.2026!D4:G46""),4,0)"),"ĐH219A")</f>
        <v>ĐH219A</v>
      </c>
      <c r="R43" s="25"/>
      <c r="S43" s="35"/>
      <c r="T43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3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3" s="35"/>
      <c r="W43" s="13"/>
      <c r="X43" s="37"/>
      <c r="Y43" s="38" t="str">
        <f t="shared" si="5"/>
        <v>4/3/2026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IFERROR(__xludf.DUMMYFUNCTION("(VLOOKUP(J44,IMPORTRANGE(""https://docs.google.com/spreadsheets/d/1QfInhV6_YXjbJgeCXJ370Rz4ercnFoTR58xB4rzVAmY/edit?gid=1021743590#gid=1021743590"",""T2.2026!D4:I46""),6,0) &amp;"", ""&amp; TEXT(VLOOKUP(J44,IMPORTRANGE(""https://docs.google.com/spreadsheets/d/1Qf"&amp;"InhV6_YXjbJgeCXJ370Rz4ercnFoTR58xB4rzVAmY/edit?gid=1021743590#gid=1021743590"",""T2.2026!D4:I46""),5,0),""D/M/YYYY""))"),"11h00, 5/3/2026")</f>
        <v>11h00, 5/3/2026</v>
      </c>
      <c r="Q44" s="33" t="str">
        <f>IFERROR(__xludf.DUMMYFUNCTION("VLOOKUP(J44,IMPORTRANGE(""https://docs.google.com/spreadsheets/d/1QfInhV6_YXjbJgeCXJ370Rz4ercnFoTR58xB4rzVAmY/edit?gid=1021743590#gid=1021743590"",""T2.2026!D4:G46""),4,0)"),"ĐH306A")</f>
        <v>ĐH306A</v>
      </c>
      <c r="R44" s="25"/>
      <c r="S44" s="35"/>
      <c r="T44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4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4" s="35"/>
      <c r="W44" s="13"/>
      <c r="X44" s="37"/>
      <c r="Y44" s="38" t="str">
        <f t="shared" si="5"/>
        <v>5/3/2026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IFERROR(__xludf.DUMMYFUNCTION("(VLOOKUP(J45,IMPORTRANGE(""https://docs.google.com/spreadsheets/d/1QfInhV6_YXjbJgeCXJ370Rz4ercnFoTR58xB4rzVAmY/edit?gid=1021743590#gid=1021743590"",""T2.2026!D4:I46""),6,0) &amp;"", ""&amp; TEXT(VLOOKUP(J45,IMPORTRANGE(""https://docs.google.com/spreadsheets/d/1Qf"&amp;"InhV6_YXjbJgeCXJ370Rz4ercnFoTR58xB4rzVAmY/edit?gid=1021743590#gid=1021743590"",""T2.2026!D4:I46""),5,0),""D/M/YYYY""))"),"#N/A")</f>
        <v>#N/A</v>
      </c>
      <c r="Q45" s="33" t="str">
        <f>IFERROR(__xludf.DUMMYFUNCTION("VLOOKUP(J45,IMPORTRANGE(""https://docs.google.com/spreadsheets/d/1QfInhV6_YXjbJgeCXJ370Rz4ercnFoTR58xB4rzVAmY/edit?gid=1021743590#gid=1021743590"",""T2.2026!D4:G46""),4,0)"),"#N/A")</f>
        <v>#N/A</v>
      </c>
      <c r="R45" s="25"/>
      <c r="S45" s="35"/>
      <c r="T45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5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5" s="35"/>
      <c r="W45" s="13"/>
      <c r="X45" s="37"/>
      <c r="Y45" s="38" t="str">
        <f t="shared" si="5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IFERROR(__xludf.DUMMYFUNCTION("(VLOOKUP(J46,IMPORTRANGE(""https://docs.google.com/spreadsheets/d/1QfInhV6_YXjbJgeCXJ370Rz4ercnFoTR58xB4rzVAmY/edit?gid=1021743590#gid=1021743590"",""T2.2026!D4:I46""),6,0) &amp;"", ""&amp; TEXT(VLOOKUP(J46,IMPORTRANGE(""https://docs.google.com/spreadsheets/d/1Qf"&amp;"InhV6_YXjbJgeCXJ370Rz4ercnFoTR58xB4rzVAmY/edit?gid=1021743590#gid=1021743590"",""T2.2026!D4:I46""),5,0),""D/M/YYYY""))"),"#N/A")</f>
        <v>#N/A</v>
      </c>
      <c r="Q46" s="33" t="str">
        <f>IFERROR(__xludf.DUMMYFUNCTION("VLOOKUP(J46,IMPORTRANGE(""https://docs.google.com/spreadsheets/d/1QfInhV6_YXjbJgeCXJ370Rz4ercnFoTR58xB4rzVAmY/edit?gid=1021743590#gid=1021743590"",""T2.2026!D4:G46""),4,0)"),"#N/A")</f>
        <v>#N/A</v>
      </c>
      <c r="R46" s="25"/>
      <c r="S46" s="35"/>
      <c r="T46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6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6" s="35"/>
      <c r="W46" s="13"/>
      <c r="X46" s="37"/>
      <c r="Y46" s="38" t="str">
        <f t="shared" si="5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IFERROR(__xludf.DUMMYFUNCTION("(VLOOKUP(J47,IMPORTRANGE(""https://docs.google.com/spreadsheets/d/1QfInhV6_YXjbJgeCXJ370Rz4ercnFoTR58xB4rzVAmY/edit?gid=1021743590#gid=1021743590"",""T2.2026!D4:I46""),6,0) &amp;"", ""&amp; TEXT(VLOOKUP(J47,IMPORTRANGE(""https://docs.google.com/spreadsheets/d/1Qf"&amp;"InhV6_YXjbJgeCXJ370Rz4ercnFoTR58xB4rzVAmY/edit?gid=1021743590#gid=1021743590"",""T2.2026!D4:I46""),5,0),""D/M/YYYY""))"),", 30/12/1899")</f>
        <v>, 30/12/1899</v>
      </c>
      <c r="Q47" s="33" t="str">
        <f>IFERROR(__xludf.DUMMYFUNCTION("VLOOKUP(J47,IMPORTRANGE(""https://docs.google.com/spreadsheets/d/1QfInhV6_YXjbJgeCXJ370Rz4ercnFoTR58xB4rzVAmY/edit?gid=1021743590#gid=1021743590"",""T2.2026!D4:G46""),4,0)"),"")</f>
        <v/>
      </c>
      <c r="R47" s="25"/>
      <c r="S47" s="45" t="s">
        <v>178</v>
      </c>
      <c r="T47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7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7" s="45" t="s">
        <v>179</v>
      </c>
      <c r="W47" s="26" t="s">
        <v>180</v>
      </c>
      <c r="X47" s="37"/>
      <c r="Y47" s="38" t="str">
        <f t="shared" si="5"/>
        <v>30/12/1899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IFERROR(__xludf.DUMMYFUNCTION("(VLOOKUP(J48,IMPORTRANGE(""https://docs.google.com/spreadsheets/d/1QfInhV6_YXjbJgeCXJ370Rz4ercnFoTR58xB4rzVAmY/edit?gid=1021743590#gid=1021743590"",""T2.2026!D4:I46""),6,0) &amp;"", ""&amp; TEXT(VLOOKUP(J48,IMPORTRANGE(""https://docs.google.com/spreadsheets/d/1Qf"&amp;"InhV6_YXjbJgeCXJ370Rz4ercnFoTR58xB4rzVAmY/edit?gid=1021743590#gid=1021743590"",""T2.2026!D4:I46""),5,0),""D/M/YYYY""))"),", 30/12/1899")</f>
        <v>, 30/12/1899</v>
      </c>
      <c r="Q48" s="33" t="str">
        <f>IFERROR(__xludf.DUMMYFUNCTION("VLOOKUP(J48,IMPORTRANGE(""https://docs.google.com/spreadsheets/d/1QfInhV6_YXjbJgeCXJ370Rz4ercnFoTR58xB4rzVAmY/edit?gid=1021743590#gid=1021743590"",""T2.2026!D4:G46""),4,0)"),"")</f>
        <v/>
      </c>
      <c r="R48" s="25"/>
      <c r="S48" s="45" t="s">
        <v>178</v>
      </c>
      <c r="T48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8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8" s="45" t="s">
        <v>179</v>
      </c>
      <c r="W48" s="26" t="s">
        <v>180</v>
      </c>
      <c r="X48" s="37"/>
      <c r="Y48" s="38" t="str">
        <f t="shared" si="5"/>
        <v>30/12/1899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IFERROR(__xludf.DUMMYFUNCTION("(VLOOKUP(J49,IMPORTRANGE(""https://docs.google.com/spreadsheets/d/1QfInhV6_YXjbJgeCXJ370Rz4ercnFoTR58xB4rzVAmY/edit?gid=1021743590#gid=1021743590"",""T2.2026!D4:I46""),6,0) &amp;"", ""&amp; TEXT(VLOOKUP(J49,IMPORTRANGE(""https://docs.google.com/spreadsheets/d/1Qf"&amp;"InhV6_YXjbJgeCXJ370Rz4ercnFoTR58xB4rzVAmY/edit?gid=1021743590#gid=1021743590"",""T2.2026!D4:I46""),5,0),""D/M/YYYY""))"),", 30/12/1899")</f>
        <v>, 30/12/1899</v>
      </c>
      <c r="Q49" s="33" t="str">
        <f>IFERROR(__xludf.DUMMYFUNCTION("VLOOKUP(J49,IMPORTRANGE(""https://docs.google.com/spreadsheets/d/1QfInhV6_YXjbJgeCXJ370Rz4ercnFoTR58xB4rzVAmY/edit?gid=1021743590#gid=1021743590"",""T2.2026!D4:G46""),4,0)"),"")</f>
        <v/>
      </c>
      <c r="R49" s="25"/>
      <c r="S49" s="45" t="s">
        <v>178</v>
      </c>
      <c r="T49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49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49" s="45" t="s">
        <v>179</v>
      </c>
      <c r="W49" s="26" t="s">
        <v>180</v>
      </c>
      <c r="X49" s="37"/>
      <c r="Y49" s="38" t="str">
        <f t="shared" si="5"/>
        <v>30/12/1899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IFERROR(__xludf.DUMMYFUNCTION("(VLOOKUP(J50,IMPORTRANGE(""https://docs.google.com/spreadsheets/d/1QfInhV6_YXjbJgeCXJ370Rz4ercnFoTR58xB4rzVAmY/edit?gid=1021743590#gid=1021743590"",""T2.2026!D4:I46""),6,0) &amp;"", ""&amp; TEXT(VLOOKUP(J50,IMPORTRANGE(""https://docs.google.com/spreadsheets/d/1Qf"&amp;"InhV6_YXjbJgeCXJ370Rz4ercnFoTR58xB4rzVAmY/edit?gid=1021743590#gid=1021743590"",""T2.2026!D4:I46""),5,0),""D/M/YYYY""))"),", 30/12/1899")</f>
        <v>, 30/12/1899</v>
      </c>
      <c r="Q50" s="33" t="str">
        <f>IFERROR(__xludf.DUMMYFUNCTION("VLOOKUP(J50,IMPORTRANGE(""https://docs.google.com/spreadsheets/d/1QfInhV6_YXjbJgeCXJ370Rz4ercnFoTR58xB4rzVAmY/edit?gid=1021743590#gid=1021743590"",""T2.2026!D4:G46""),4,0)"),"")</f>
        <v/>
      </c>
      <c r="R50" s="25"/>
      <c r="S50" s="45" t="s">
        <v>178</v>
      </c>
      <c r="T50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50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50" s="45" t="s">
        <v>179</v>
      </c>
      <c r="W50" s="70" t="s">
        <v>179</v>
      </c>
      <c r="X50" s="37"/>
      <c r="Y50" s="38" t="str">
        <f t="shared" si="5"/>
        <v>30/12/1899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IFERROR(__xludf.DUMMYFUNCTION("(VLOOKUP(J51,IMPORTRANGE(""https://docs.google.com/spreadsheets/d/1QfInhV6_YXjbJgeCXJ370Rz4ercnFoTR58xB4rzVAmY/edit?gid=1021743590#gid=1021743590"",""T2.2026!D4:I46""),6,0) &amp;"", ""&amp; TEXT(VLOOKUP(J51,IMPORTRANGE(""https://docs.google.com/spreadsheets/d/1Qf"&amp;"InhV6_YXjbJgeCXJ370Rz4ercnFoTR58xB4rzVAmY/edit?gid=1021743590#gid=1021743590"",""T2.2026!D4:I46""),5,0),""D/M/YYYY""))"),", 30/12/1899")</f>
        <v>, 30/12/1899</v>
      </c>
      <c r="Q51" s="33" t="str">
        <f>IFERROR(__xludf.DUMMYFUNCTION("VLOOKUP(J51,IMPORTRANGE(""https://docs.google.com/spreadsheets/d/1QfInhV6_YXjbJgeCXJ370Rz4ercnFoTR58xB4rzVAmY/edit?gid=1021743590#gid=1021743590"",""T2.2026!D4:G46""),4,0)"),"")</f>
        <v/>
      </c>
      <c r="R51" s="25"/>
      <c r="S51" s="45" t="s">
        <v>178</v>
      </c>
      <c r="T51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51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51" s="45" t="s">
        <v>179</v>
      </c>
      <c r="W51" s="26" t="s">
        <v>180</v>
      </c>
      <c r="X51" s="37"/>
      <c r="Y51" s="38" t="str">
        <f t="shared" si="5"/>
        <v>30/12/1899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IFERROR(__xludf.DUMMYFUNCTION("(VLOOKUP(J52,IMPORTRANGE(""https://docs.google.com/spreadsheets/d/1QfInhV6_YXjbJgeCXJ370Rz4ercnFoTR58xB4rzVAmY/edit?gid=1021743590#gid=1021743590"",""T2.2026!D4:I46""),6,0) &amp;"", ""&amp; TEXT(VLOOKUP(J52,IMPORTRANGE(""https://docs.google.com/spreadsheets/d/1Qf"&amp;"InhV6_YXjbJgeCXJ370Rz4ercnFoTR58xB4rzVAmY/edit?gid=1021743590#gid=1021743590"",""T2.2026!D4:I46""),5,0),""D/M/YYYY""))"),"11h00, 3/3/2026")</f>
        <v>11h00, 3/3/2026</v>
      </c>
      <c r="Q52" s="33" t="str">
        <f>IFERROR(__xludf.DUMMYFUNCTION("VLOOKUP(J52,IMPORTRANGE(""https://docs.google.com/spreadsheets/d/1QfInhV6_YXjbJgeCXJ370Rz4ercnFoTR58xB4rzVAmY/edit?gid=1021743590#gid=1021743590"",""T2.2026!D4:G46""),4,0)"),"ĐH219A")</f>
        <v>ĐH219A</v>
      </c>
      <c r="R52" s="25"/>
      <c r="S52" s="45" t="s">
        <v>193</v>
      </c>
      <c r="T52" s="35" t="str">
        <f t="shared" si="3"/>
        <v>- Thông báo lịch nghỉ tết âm lịch 2026
- TB về việc nộp tiền BHYT năm 2026
- TB đăng ký học lại đợt 3
- TB HD đánh giá điểm rèn luyện HK1 năm học 25-26
- TB về việc thực hiện bầu cử Quốc hội và HĐND
- Triển khai các nhóm SV Khởi nghiệp, NCKH
- </v>
      </c>
      <c r="U52" s="43" t="str">
        <f t="shared" si="6"/>
        <v>- Triển khai thực ĐATN, ĐACN
- 
- Các nhóm SV NCKH thực hiện theo tiến độ
- GVCN đôn đốc, nhắc nhở và liên hệ về gia đình SV nghỉ nhiều, nợ nhiều học phần
- </v>
      </c>
      <c r="V52" s="35"/>
      <c r="W52" s="13"/>
      <c r="X52" s="37"/>
      <c r="Y52" s="38" t="str">
        <f t="shared" si="5"/>
        <v>3/3/2026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/>
      <c r="Q53" s="33"/>
      <c r="R53" s="25"/>
      <c r="S53" s="35"/>
      <c r="T53" s="35"/>
      <c r="U53" s="43"/>
      <c r="V53" s="35"/>
      <c r="W53" s="13"/>
      <c r="X53" s="37"/>
      <c r="Y53" s="38" t="str">
        <f t="shared" si="5"/>
        <v>#VALUE!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/>
      <c r="Q54" s="33"/>
      <c r="R54" s="25"/>
      <c r="S54" s="45"/>
      <c r="T54" s="35"/>
      <c r="U54" s="43"/>
      <c r="V54" s="35"/>
      <c r="W54" s="13"/>
      <c r="X54" s="37"/>
      <c r="Y54" s="38" t="str">
        <f t="shared" si="5"/>
        <v>#VALUE!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/>
      <c r="Q55" s="33"/>
      <c r="R55" s="25"/>
      <c r="S55" s="35"/>
      <c r="T55" s="35"/>
      <c r="U55" s="43"/>
      <c r="V55" s="35"/>
      <c r="W55" s="13"/>
      <c r="X55" s="37"/>
      <c r="Y55" s="38" t="str">
        <f t="shared" si="5"/>
        <v>#VALUE!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3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33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InputMessage="1" showErrorMessage="1" prompt="Click and enter a value from the list of items" sqref="D8:D19 D26:D36">
      <formula1>"ALL,K23,K20,K21,K22"</formula1>
    </dataValidation>
    <dataValidation type="list" allowBlank="1" showErrorMessage="1" sqref="G8">
      <formula1>"1232"</formula1>
    </dataValidation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</hyperlinks>
  <printOptions/>
  <pageMargins bottom="0.31496062992125984" footer="0.0" header="0.0" left="0.4330708661417323" right="0.1968503937007874" top="0.31496062992125984"/>
  <pageSetup paperSize="9"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71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1.0</v>
      </c>
      <c r="E6" s="5">
        <v>2026.0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19" t="s">
        <v>20</v>
      </c>
      <c r="Q7" s="19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195</v>
      </c>
      <c r="D8" s="24" t="s">
        <v>31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IFERROR(__xludf.DUMMYFUNCTION("(VLOOKUP(J8,IMPORTRANGE(""https://docs.google.com/spreadsheets/d/1QfInhV6_YXjbJgeCXJ370Rz4ercnFoTR58xB4rzVAmY/edit?gid=1021743590#gid=1021743590"",""T1.2026!D4:I46""),6,0) &amp;"", ""&amp; TEXT(VLOOKUP(J8,IMPORTRANGE(""https://docs.google.com/spreadsheets/d/1QfIn"&amp;"hV6_YXjbJgeCXJ370Rz4ercnFoTR58xB4rzVAmY/edit?gid=1021743590#gid=1021743590"",""T1.2026!D4:I46""),5,0),""D/M/YYYY""))"),"#N/A")</f>
        <v>#N/A</v>
      </c>
      <c r="Q8" s="33" t="str">
        <f>IFERROR(__xludf.DUMMYFUNCTION("VLOOKUP(J8,IMPORTRANGE(""https://docs.google.com/spreadsheets/d/1QfInhV6_YXjbJgeCXJ370Rz4ercnFoTR58xB4rzVAmY/edit?gid=1021743590#gid=1021743590"",""T1.2026!D4:G46""),4,0)"),"#N/A")</f>
        <v>#N/A</v>
      </c>
      <c r="R8" s="30">
        <v>3.0</v>
      </c>
      <c r="S8" s="34"/>
      <c r="T8" s="35" t="str">
        <f t="shared" ref="T8:T10" si="1">INDEX(C$20:C$23, MATCH(K8, D$20:D$23, 0))</f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8" s="36" t="s">
        <v>196</v>
      </c>
      <c r="V8" s="35"/>
      <c r="W8" s="13"/>
      <c r="X8" s="37"/>
      <c r="Y8" s="38" t="str">
        <f t="shared" ref="Y8:Y19" si="2">TRIM(MID(P8, FIND(",", P8) + 1, LEN(P8)))</f>
        <v>#N/A</v>
      </c>
      <c r="Z8" s="3"/>
      <c r="AA8" s="3"/>
      <c r="AB8" s="3"/>
    </row>
    <row r="9">
      <c r="A9" s="1"/>
      <c r="B9" s="39"/>
      <c r="C9" s="23" t="s">
        <v>40</v>
      </c>
      <c r="D9" s="24" t="s">
        <v>31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IFERROR(__xludf.DUMMYFUNCTION("(VLOOKUP(J9,IMPORTRANGE(""https://docs.google.com/spreadsheets/d/1QfInhV6_YXjbJgeCXJ370Rz4ercnFoTR58xB4rzVAmY/edit?gid=1021743590#gid=1021743590"",""T1.2026!D4:I46""),6,0) &amp;"", ""&amp; TEXT(VLOOKUP(J9,IMPORTRANGE(""https://docs.google.com/spreadsheets/d/1QfIn"&amp;"hV6_YXjbJgeCXJ370Rz4ercnFoTR58xB4rzVAmY/edit?gid=1021743590#gid=1021743590"",""T1.2026!D4:I46""),5,0),""D/M/YYYY""))"),"#N/A")</f>
        <v>#N/A</v>
      </c>
      <c r="Q9" s="33" t="str">
        <f>IFERROR(__xludf.DUMMYFUNCTION("VLOOKUP(J9,IMPORTRANGE(""https://docs.google.com/spreadsheets/d/1QfInhV6_YXjbJgeCXJ370Rz4ercnFoTR58xB4rzVAmY/edit?gid=1021743590#gid=1021743590"",""T1.2026!D4:G46""),4,0)"),"#N/A")</f>
        <v>#N/A</v>
      </c>
      <c r="R9" s="25"/>
      <c r="S9" s="35"/>
      <c r="T9" s="35" t="str">
        <f t="shared" si="1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9" s="36" t="s">
        <v>197</v>
      </c>
      <c r="V9" s="35"/>
      <c r="W9" s="13"/>
      <c r="X9" s="37"/>
      <c r="Y9" s="38" t="str">
        <f t="shared" si="2"/>
        <v>#N/A</v>
      </c>
      <c r="Z9" s="3"/>
      <c r="AA9" s="3"/>
      <c r="AB9" s="3"/>
    </row>
    <row r="10">
      <c r="A10" s="1"/>
      <c r="B10" s="39"/>
      <c r="C10" s="23" t="s">
        <v>198</v>
      </c>
      <c r="D10" s="24" t="s">
        <v>31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IFERROR(__xludf.DUMMYFUNCTION("(VLOOKUP(J10,IMPORTRANGE(""https://docs.google.com/spreadsheets/d/1QfInhV6_YXjbJgeCXJ370Rz4ercnFoTR58xB4rzVAmY/edit?gid=1021743590#gid=1021743590"",""T1.2026!D4:I46""),6,0) &amp;"", ""&amp; TEXT(VLOOKUP(J10,IMPORTRANGE(""https://docs.google.com/spreadsheets/d/1Qf"&amp;"InhV6_YXjbJgeCXJ370Rz4ercnFoTR58xB4rzVAmY/edit?gid=1021743590#gid=1021743590"",""T1.2026!D4:I46""),5,0),""D/M/YYYY""))"),"#N/A")</f>
        <v>#N/A</v>
      </c>
      <c r="Q10" s="33" t="str">
        <f>IFERROR(__xludf.DUMMYFUNCTION("VLOOKUP(J10,IMPORTRANGE(""https://docs.google.com/spreadsheets/d/1QfInhV6_YXjbJgeCXJ370Rz4ercnFoTR58xB4rzVAmY/edit?gid=1021743590#gid=1021743590"",""T1.2026!D4:G46""),4,0)"),"#N/A")</f>
        <v>#N/A</v>
      </c>
      <c r="R10" s="25"/>
      <c r="S10" s="35"/>
      <c r="T10" s="35" t="str">
        <f t="shared" si="1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0" s="43" t="str">
        <f t="array" ref="U10">INDEX(C$37:C$40, MATCH(K10, D$37:D$40, 0))</f>
        <v>- Triển khai các hoạt động cho HK2 năm học 25-26
- 
- Các nhóm SV NCKH thực hiện theo tiến độ
- GVCN đôn đốc, nhắc nhở và liên hệ về gia đình SV nghỉ nhiều, nợ nhiều học phần
- </v>
      </c>
      <c r="V10" s="35"/>
      <c r="W10" s="13"/>
      <c r="X10" s="37"/>
      <c r="Y10" s="38" t="str">
        <f t="shared" si="2"/>
        <v>#N/A</v>
      </c>
      <c r="Z10" s="3"/>
      <c r="AA10" s="3"/>
      <c r="AB10" s="3"/>
    </row>
    <row r="11">
      <c r="A11" s="1"/>
      <c r="B11" s="39"/>
      <c r="C11" s="23" t="s">
        <v>199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53</v>
      </c>
      <c r="O11" s="44" t="s">
        <v>54</v>
      </c>
      <c r="P11" s="33" t="str">
        <f>IFERROR(__xludf.DUMMYFUNCTION("(VLOOKUP(J11,IMPORTRANGE(""https://docs.google.com/spreadsheets/d/1QfInhV6_YXjbJgeCXJ370Rz4ercnFoTR58xB4rzVAmY/edit?gid=1021743590#gid=1021743590"",""T1.2026!D4:I46""),6,0) &amp;"", ""&amp; TEXT(VLOOKUP(J11,IMPORTRANGE(""https://docs.google.com/spreadsheets/d/1Qf"&amp;"InhV6_YXjbJgeCXJ370Rz4ercnFoTR58xB4rzVAmY/edit?gid=1021743590#gid=1021743590"",""T1.2026!D4:I46""),5,0),""D/M/YYYY""))"),"#N/A")</f>
        <v>#N/A</v>
      </c>
      <c r="Q11" s="33" t="str">
        <f>IFERROR(__xludf.DUMMYFUNCTION("VLOOKUP(J11,IMPORTRANGE(""https://docs.google.com/spreadsheets/d/1QfInhV6_YXjbJgeCXJ370Rz4ercnFoTR58xB4rzVAmY/edit?gid=1021743590#gid=1021743590"",""T1.2026!D4:G46""),4,0)"),"#N/A")</f>
        <v>#N/A</v>
      </c>
      <c r="R11" s="30">
        <v>1.0</v>
      </c>
      <c r="S11" s="45" t="s">
        <v>55</v>
      </c>
      <c r="T11" s="45" t="s">
        <v>56</v>
      </c>
      <c r="U11" s="46" t="s">
        <v>57</v>
      </c>
      <c r="V11" s="45" t="s">
        <v>58</v>
      </c>
      <c r="W11" s="45" t="s">
        <v>58</v>
      </c>
      <c r="X11" s="47" t="s">
        <v>58</v>
      </c>
      <c r="Y11" s="38" t="str">
        <f t="shared" si="2"/>
        <v>#N/A</v>
      </c>
      <c r="Z11" s="3"/>
      <c r="AA11" s="3"/>
      <c r="AB11" s="3"/>
    </row>
    <row r="12">
      <c r="A12" s="1"/>
      <c r="B12" s="39"/>
      <c r="C12" s="23"/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IFERROR(__xludf.DUMMYFUNCTION("(VLOOKUP(J12,IMPORTRANGE(""https://docs.google.com/spreadsheets/d/1QfInhV6_YXjbJgeCXJ370Rz4ercnFoTR58xB4rzVAmY/edit?gid=1021743590#gid=1021743590"",""T1.2026!D4:I46""),6,0) &amp;"", ""&amp; TEXT(VLOOKUP(J12,IMPORTRANGE(""https://docs.google.com/spreadsheets/d/1Qf"&amp;"InhV6_YXjbJgeCXJ370Rz4ercnFoTR58xB4rzVAmY/edit?gid=1021743590#gid=1021743590"",""T1.2026!D4:I46""),5,0),""D/M/YYYY""))"),"#N/A")</f>
        <v>#N/A</v>
      </c>
      <c r="Q12" s="33" t="str">
        <f>IFERROR(__xludf.DUMMYFUNCTION("VLOOKUP(J12,IMPORTRANGE(""https://docs.google.com/spreadsheets/d/1QfInhV6_YXjbJgeCXJ370Rz4ercnFoTR58xB4rzVAmY/edit?gid=1021743590#gid=1021743590"",""T1.2026!D4:G46""),4,0)"),"#N/A")</f>
        <v>#N/A</v>
      </c>
      <c r="R12" s="25"/>
      <c r="T12" s="35" t="str">
        <f t="shared" ref="T12:T52" si="3">INDEX(C$20:C$23, MATCH(K12, D$20:D$23, 0))</f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2" s="43" t="str">
        <f t="shared" ref="U12:U27" si="4">INDEX(C$37:C$40, MATCH(K12, D$37:D$40, 0))</f>
        <v>- Triển khai các hoạt động cho HK2 năm học 25-26
- 
- Các nhóm SV NCKH thực hiện theo tiến độ
- GVCN đôn đốc, nhắc nhở và liên hệ về gia đình SV nghỉ nhiều, nợ nhiều học phần
- </v>
      </c>
      <c r="V12" s="35"/>
      <c r="W12" s="13"/>
      <c r="X12" s="37"/>
      <c r="Y12" s="38" t="str">
        <f t="shared" si="2"/>
        <v>#N/A</v>
      </c>
      <c r="Z12" s="3"/>
      <c r="AA12" s="3"/>
      <c r="AB12" s="3"/>
    </row>
    <row r="13">
      <c r="A13" s="1"/>
      <c r="B13" s="48"/>
      <c r="C13" s="23"/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IFERROR(__xludf.DUMMYFUNCTION("(VLOOKUP(J13,IMPORTRANGE(""https://docs.google.com/spreadsheets/d/1QfInhV6_YXjbJgeCXJ370Rz4ercnFoTR58xB4rzVAmY/edit?gid=1021743590#gid=1021743590"",""T1.2026!D4:I46""),6,0) &amp;"", ""&amp; TEXT(VLOOKUP(J13,IMPORTRANGE(""https://docs.google.com/spreadsheets/d/1Qf"&amp;"InhV6_YXjbJgeCXJ370Rz4ercnFoTR58xB4rzVAmY/edit?gid=1021743590#gid=1021743590"",""T1.2026!D4:I46""),5,0),""D/M/YYYY""))"),"#N/A")</f>
        <v>#N/A</v>
      </c>
      <c r="Q13" s="33" t="str">
        <f>IFERROR(__xludf.DUMMYFUNCTION("VLOOKUP(J13,IMPORTRANGE(""https://docs.google.com/spreadsheets/d/1QfInhV6_YXjbJgeCXJ370Rz4ercnFoTR58xB4rzVAmY/edit?gid=1021743590#gid=1021743590"",""T1.2026!D4:G46""),4,0)"),"#N/A")</f>
        <v>#N/A</v>
      </c>
      <c r="R13" s="25"/>
      <c r="S13" s="35"/>
      <c r="T13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3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3" s="35"/>
      <c r="W13" s="13"/>
      <c r="X13" s="37"/>
      <c r="Y13" s="38" t="str">
        <f t="shared" si="2"/>
        <v>#N/A</v>
      </c>
      <c r="Z13" s="3"/>
      <c r="AA13" s="3"/>
      <c r="AB13" s="3"/>
    </row>
    <row r="14">
      <c r="A14" s="1"/>
      <c r="B14" s="51" t="s">
        <v>65</v>
      </c>
      <c r="C14" s="23" t="s">
        <v>66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IFERROR(__xludf.DUMMYFUNCTION("(VLOOKUP(J14,IMPORTRANGE(""https://docs.google.com/spreadsheets/d/1QfInhV6_YXjbJgeCXJ370Rz4ercnFoTR58xB4rzVAmY/edit?gid=1021743590#gid=1021743590"",""T1.2026!D4:I46""),6,0) &amp;"", ""&amp; TEXT(VLOOKUP(J14,IMPORTRANGE(""https://docs.google.com/spreadsheets/d/1Qf"&amp;"InhV6_YXjbJgeCXJ370Rz4ercnFoTR58xB4rzVAmY/edit?gid=1021743590#gid=1021743590"",""T1.2026!D4:I46""),5,0),""D/M/YYYY""))"),"#N/A")</f>
        <v>#N/A</v>
      </c>
      <c r="Q14" s="33" t="str">
        <f>IFERROR(__xludf.DUMMYFUNCTION("VLOOKUP(J14,IMPORTRANGE(""https://docs.google.com/spreadsheets/d/1QfInhV6_YXjbJgeCXJ370Rz4ercnFoTR58xB4rzVAmY/edit?gid=1021743590#gid=1021743590"",""T1.2026!D4:G46""),4,0)"),"#N/A")</f>
        <v>#N/A</v>
      </c>
      <c r="R14" s="25"/>
      <c r="S14" s="35"/>
      <c r="T14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4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4" s="35"/>
      <c r="W14" s="13"/>
      <c r="X14" s="37"/>
      <c r="Y14" s="38" t="str">
        <f t="shared" si="2"/>
        <v>#N/A</v>
      </c>
      <c r="Z14" s="3"/>
      <c r="AA14" s="3"/>
      <c r="AB14" s="3"/>
    </row>
    <row r="15">
      <c r="A15" s="1"/>
      <c r="B15" s="39"/>
      <c r="C15" s="23" t="s">
        <v>200</v>
      </c>
      <c r="D15" s="24" t="s">
        <v>69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IFERROR(__xludf.DUMMYFUNCTION("(VLOOKUP(J15,IMPORTRANGE(""https://docs.google.com/spreadsheets/d/1QfInhV6_YXjbJgeCXJ370Rz4ercnFoTR58xB4rzVAmY/edit?gid=1021743590#gid=1021743590"",""T1.2026!D4:I46""),6,0) &amp;"", ""&amp; TEXT(VLOOKUP(J15,IMPORTRANGE(""https://docs.google.com/spreadsheets/d/1Qf"&amp;"InhV6_YXjbJgeCXJ370Rz4ercnFoTR58xB4rzVAmY/edit?gid=1021743590#gid=1021743590"",""T1.2026!D4:I46""),5,0),""D/M/YYYY""))"),"#N/A")</f>
        <v>#N/A</v>
      </c>
      <c r="Q15" s="33" t="str">
        <f>IFERROR(__xludf.DUMMYFUNCTION("VLOOKUP(J15,IMPORTRANGE(""https://docs.google.com/spreadsheets/d/1QfInhV6_YXjbJgeCXJ370Rz4ercnFoTR58xB4rzVAmY/edit?gid=1021743590#gid=1021743590"",""T1.2026!D4:G46""),4,0)"),"#N/A")</f>
        <v>#N/A</v>
      </c>
      <c r="R15" s="25"/>
      <c r="S15" s="35"/>
      <c r="T15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5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5" s="35"/>
      <c r="W15" s="13"/>
      <c r="X15" s="37"/>
      <c r="Y15" s="38" t="str">
        <f t="shared" si="2"/>
        <v>#N/A</v>
      </c>
      <c r="Z15" s="3"/>
      <c r="AA15" s="3"/>
      <c r="AB15" s="3"/>
    </row>
    <row r="16">
      <c r="A16" s="1"/>
      <c r="B16" s="39"/>
      <c r="C16" s="23" t="s">
        <v>201</v>
      </c>
      <c r="D16" s="24" t="s">
        <v>31</v>
      </c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IFERROR(__xludf.DUMMYFUNCTION("(VLOOKUP(J16,IMPORTRANGE(""https://docs.google.com/spreadsheets/d/1QfInhV6_YXjbJgeCXJ370Rz4ercnFoTR58xB4rzVAmY/edit?gid=1021743590#gid=1021743590"",""T1.2026!D4:I46""),6,0) &amp;"", ""&amp; TEXT(VLOOKUP(J16,IMPORTRANGE(""https://docs.google.com/spreadsheets/d/1Qf"&amp;"InhV6_YXjbJgeCXJ370Rz4ercnFoTR58xB4rzVAmY/edit?gid=1021743590#gid=1021743590"",""T1.2026!D4:I46""),5,0),""D/M/YYYY""))"),"#N/A")</f>
        <v>#N/A</v>
      </c>
      <c r="Q16" s="33" t="str">
        <f>IFERROR(__xludf.DUMMYFUNCTION("VLOOKUP(J16,IMPORTRANGE(""https://docs.google.com/spreadsheets/d/1QfInhV6_YXjbJgeCXJ370Rz4ercnFoTR58xB4rzVAmY/edit?gid=1021743590#gid=1021743590"",""T1.2026!D4:G46""),4,0)"),"#N/A")</f>
        <v>#N/A</v>
      </c>
      <c r="R16" s="25"/>
      <c r="S16" s="35"/>
      <c r="T16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6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6" s="35"/>
      <c r="W16" s="13"/>
      <c r="X16" s="37"/>
      <c r="Y16" s="38" t="str">
        <f t="shared" si="2"/>
        <v>#N/A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IFERROR(__xludf.DUMMYFUNCTION("(VLOOKUP(J17,IMPORTRANGE(""https://docs.google.com/spreadsheets/d/1QfInhV6_YXjbJgeCXJ370Rz4ercnFoTR58xB4rzVAmY/edit?gid=1021743590#gid=1021743590"",""T1.2026!D4:I46""),6,0) &amp;"", ""&amp; TEXT(VLOOKUP(J17,IMPORTRANGE(""https://docs.google.com/spreadsheets/d/1Qf"&amp;"InhV6_YXjbJgeCXJ370Rz4ercnFoTR58xB4rzVAmY/edit?gid=1021743590#gid=1021743590"",""T1.2026!D4:I46""),5,0),""D/M/YYYY""))"),"#N/A")</f>
        <v>#N/A</v>
      </c>
      <c r="Q17" s="33" t="str">
        <f>IFERROR(__xludf.DUMMYFUNCTION("VLOOKUP(J17,IMPORTRANGE(""https://docs.google.com/spreadsheets/d/1QfInhV6_YXjbJgeCXJ370Rz4ercnFoTR58xB4rzVAmY/edit?gid=1021743590#gid=1021743590"",""T1.2026!D4:G46""),4,0)"),"#N/A")</f>
        <v>#N/A</v>
      </c>
      <c r="R17" s="25"/>
      <c r="S17" s="35"/>
      <c r="T17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7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7" s="35"/>
      <c r="W17" s="13"/>
      <c r="X17" s="37"/>
      <c r="Y17" s="38" t="str">
        <f t="shared" si="2"/>
        <v>#N/A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6">
        <v>20.0</v>
      </c>
      <c r="N18" s="42" t="s">
        <v>79</v>
      </c>
      <c r="O18" s="42"/>
      <c r="P18" s="33" t="str">
        <f>IFERROR(__xludf.DUMMYFUNCTION("(VLOOKUP(J18,IMPORTRANGE(""https://docs.google.com/spreadsheets/d/1QfInhV6_YXjbJgeCXJ370Rz4ercnFoTR58xB4rzVAmY/edit?gid=1021743590#gid=1021743590"",""T1.2026!D4:I46""),6,0) &amp;"", ""&amp; TEXT(VLOOKUP(J18,IMPORTRANGE(""https://docs.google.com/spreadsheets/d/1Qf"&amp;"InhV6_YXjbJgeCXJ370Rz4ercnFoTR58xB4rzVAmY/edit?gid=1021743590#gid=1021743590"",""T1.2026!D4:I46""),5,0),""D/M/YYYY""))"),"11h00, 28/1/2026")</f>
        <v>11h00, 28/1/2026</v>
      </c>
      <c r="Q18" s="33" t="str">
        <f>IFERROR(__xludf.DUMMYFUNCTION("VLOOKUP(J18,IMPORTRANGE(""https://docs.google.com/spreadsheets/d/1QfInhV6_YXjbJgeCXJ370Rz4ercnFoTR58xB4rzVAmY/edit?gid=1021743590#gid=1021743590"",""T1.2026!D4:G46""),4,0)"),"ĐH205")</f>
        <v>ĐH205</v>
      </c>
      <c r="R18" s="25"/>
      <c r="S18" s="45" t="s">
        <v>202</v>
      </c>
      <c r="T18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8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8" s="35"/>
      <c r="W18" s="13"/>
      <c r="X18" s="37"/>
      <c r="Y18" s="38" t="str">
        <f t="shared" si="2"/>
        <v>28/1/2026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57" t="s">
        <v>81</v>
      </c>
      <c r="K19" s="5" t="s">
        <v>35</v>
      </c>
      <c r="L19" s="30" t="s">
        <v>78</v>
      </c>
      <c r="M19" s="56">
        <v>73.0</v>
      </c>
      <c r="N19" s="42" t="s">
        <v>82</v>
      </c>
      <c r="O19" s="42"/>
      <c r="P19" s="33" t="str">
        <f>IFERROR(__xludf.DUMMYFUNCTION("(VLOOKUP(J19,IMPORTRANGE(""https://docs.google.com/spreadsheets/d/1QfInhV6_YXjbJgeCXJ370Rz4ercnFoTR58xB4rzVAmY/edit?gid=1021743590#gid=1021743590"",""T1.2026!D4:I46""),6,0) &amp;"", ""&amp; TEXT(VLOOKUP(J19,IMPORTRANGE(""https://docs.google.com/spreadsheets/d/1Qf"&amp;"InhV6_YXjbJgeCXJ370Rz4ercnFoTR58xB4rzVAmY/edit?gid=1021743590#gid=1021743590"",""T1.2026!D4:I46""),5,0),""D/M/YYYY""))"),"11h15, 29/1/2026")</f>
        <v>11h15, 29/1/2026</v>
      </c>
      <c r="Q19" s="33" t="str">
        <f>IFERROR(__xludf.DUMMYFUNCTION("VLOOKUP(J19,IMPORTRANGE(""https://docs.google.com/spreadsheets/d/1QfInhV6_YXjbJgeCXJ370Rz4ercnFoTR58xB4rzVAmY/edit?gid=1021743590#gid=1021743590"",""T1.2026!D4:G46""),4,0)"),"ĐH 413")</f>
        <v>ĐH 413</v>
      </c>
      <c r="R19" s="25"/>
      <c r="S19" s="45" t="s">
        <v>202</v>
      </c>
      <c r="T19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19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9" s="35"/>
      <c r="W19" s="13"/>
      <c r="X19" s="37"/>
      <c r="Y19" s="38" t="str">
        <f t="shared" si="2"/>
        <v>29/1/2026</v>
      </c>
      <c r="Z19" s="3"/>
      <c r="AA19" s="3"/>
      <c r="AB19" s="3"/>
    </row>
    <row r="20" ht="118.5" customHeight="1">
      <c r="A20" s="1"/>
      <c r="B20" s="51" t="s">
        <v>84</v>
      </c>
      <c r="C20" s="58" t="str">
        <f>IFERROR(__xludf.DUMMYFUNCTION("JOIN(CHAR(10), FILTER(""- "" &amp; C$8:C$19, (D$8:D$19 = ""ALL"") + (D$8:D$19 = D20)))"),"-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họ"&amp;"c")</f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IFERROR(__xludf.DUMMYFUNCTION("(VLOOKUP(J20,IMPORTRANGE(""https://docs.google.com/spreadsheets/d/1QfInhV6_YXjbJgeCXJ370Rz4ercnFoTR58xB4rzVAmY/edit?gid=1021743590#gid=1021743590"",""T1.2026!D4:I46""),6,0) &amp;"", ""&amp; TEXT(VLOOKUP(J20,IMPORTRANGE(""https://docs.google.com/spreadsheets/d/1Qf"&amp;"InhV6_YXjbJgeCXJ370Rz4ercnFoTR58xB4rzVAmY/edit?gid=1021743590#gid=1021743590"",""T1.2026!D4:I46""),5,0),""D/M/YYYY""))"),", 30/12/1899")</f>
        <v>, 30/12/1899</v>
      </c>
      <c r="Q20" s="33" t="str">
        <f>IFERROR(__xludf.DUMMYFUNCTION("VLOOKUP(J20,IMPORTRANGE(""https://docs.google.com/spreadsheets/d/1QfInhV6_YXjbJgeCXJ370Rz4ercnFoTR58xB4rzVAmY/edit?gid=1021743590#gid=1021743590"",""T1.2026!D4:G46""),4,0)"),"")</f>
        <v/>
      </c>
      <c r="R20" s="25"/>
      <c r="S20" s="35"/>
      <c r="T20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0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k"&amp;"hai nhắc nhở SV còn thiếu hồ sơ nhập học")</f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IFERROR(__xludf.DUMMYFUNCTION("(VLOOKUP(J21,IMPORTRANGE(""https://docs.google.com/spreadsheets/d/1QfInhV6_YXjbJgeCXJ370Rz4ercnFoTR58xB4rzVAmY/edit?gid=1021743590#gid=1021743590"",""T1.2026!D4:I46""),6,0) &amp;"", ""&amp; TEXT(VLOOKUP(J21,IMPORTRANGE(""https://docs.google.com/spreadsheets/d/1Qf"&amp;"InhV6_YXjbJgeCXJ370Rz4ercnFoTR58xB4rzVAmY/edit?gid=1021743590#gid=1021743590"",""T1.2026!D4:I46""),5,0),""D/M/YYYY""))"),", 30/12/1899")</f>
        <v>, 30/12/1899</v>
      </c>
      <c r="Q21" s="33" t="str">
        <f>IFERROR(__xludf.DUMMYFUNCTION("VLOOKUP(J21,IMPORTRANGE(""https://docs.google.com/spreadsheets/d/1QfInhV6_YXjbJgeCXJ370Rz4ercnFoTR58xB4rzVAmY/edit?gid=1021743590#gid=1021743590"",""T1.2026!D4:G46""),4,0)"),"")</f>
        <v/>
      </c>
      <c r="R21" s="25"/>
      <c r="S21" s="35"/>
      <c r="T21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1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họ"&amp;"c")</f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IFERROR(__xludf.DUMMYFUNCTION("(VLOOKUP(J22,IMPORTRANGE(""https://docs.google.com/spreadsheets/d/1QfInhV6_YXjbJgeCXJ370Rz4ercnFoTR58xB4rzVAmY/edit?gid=1021743590#gid=1021743590"",""T1.2026!D4:I46""),6,0) &amp;"", ""&amp; TEXT(VLOOKUP(J22,IMPORTRANGE(""https://docs.google.com/spreadsheets/d/1Qf"&amp;"InhV6_YXjbJgeCXJ370Rz4ercnFoTR58xB4rzVAmY/edit?gid=1021743590#gid=1021743590"",""T1.2026!D4:I46""),5,0),""D/M/YYYY""))"),"11h00, 30/1/2025")</f>
        <v>11h00, 30/1/2025</v>
      </c>
      <c r="Q22" s="33" t="str">
        <f>IFERROR(__xludf.DUMMYFUNCTION("VLOOKUP(J22,IMPORTRANGE(""https://docs.google.com/spreadsheets/d/1QfInhV6_YXjbJgeCXJ370Rz4ercnFoTR58xB4rzVAmY/edit?gid=1021743590#gid=1021743590"",""T1.2026!D4:G46""),4,0)"),"DH303")</f>
        <v>DH303</v>
      </c>
      <c r="R22" s="25"/>
      <c r="S22" s="35"/>
      <c r="T22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2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họ"&amp;"c")</f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IFERROR(__xludf.DUMMYFUNCTION("(VLOOKUP(J23,IMPORTRANGE(""https://docs.google.com/spreadsheets/d/1QfInhV6_YXjbJgeCXJ370Rz4ercnFoTR58xB4rzVAmY/edit?gid=1021743590#gid=1021743590"",""T1.2026!D4:I46""),6,0) &amp;"", ""&amp; TEXT(VLOOKUP(J23,IMPORTRANGE(""https://docs.google.com/spreadsheets/d/1Qf"&amp;"InhV6_YXjbJgeCXJ370Rz4ercnFoTR58xB4rzVAmY/edit?gid=1021743590#gid=1021743590"",""T1.2026!D4:I46""),5,0),""D/M/YYYY""))"),", 30/12/1899")</f>
        <v>, 30/12/1899</v>
      </c>
      <c r="Q23" s="33" t="str">
        <f>IFERROR(__xludf.DUMMYFUNCTION("VLOOKUP(J23,IMPORTRANGE(""https://docs.google.com/spreadsheets/d/1QfInhV6_YXjbJgeCXJ370Rz4ercnFoTR58xB4rzVAmY/edit?gid=1021743590#gid=1021743590"",""T1.2026!D4:G46""),4,0)"),"")</f>
        <v/>
      </c>
      <c r="R23" s="25"/>
      <c r="S23" s="35"/>
      <c r="T23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3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3" s="35"/>
      <c r="W23" s="13"/>
      <c r="X23" s="37"/>
      <c r="Y23" s="38" t="str">
        <f t="shared" ref="Y23:Y55" si="5">TRIM(MID(P23, FIND(",", P23) + 1, LEN(P23)))</f>
        <v>30/12/1899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IFERROR(__xludf.DUMMYFUNCTION("(VLOOKUP(J24,IMPORTRANGE(""https://docs.google.com/spreadsheets/d/1QfInhV6_YXjbJgeCXJ370Rz4ercnFoTR58xB4rzVAmY/edit?gid=1021743590#gid=1021743590"",""T1.2026!D4:I46""),6,0) &amp;"", ""&amp; TEXT(VLOOKUP(J24,IMPORTRANGE(""https://docs.google.com/spreadsheets/d/1Qf"&amp;"InhV6_YXjbJgeCXJ370Rz4ercnFoTR58xB4rzVAmY/edit?gid=1021743590#gid=1021743590"",""T1.2026!D4:I46""),5,0),""D/M/YYYY""))"),"20h00, 29/1/2026")</f>
        <v>20h00, 29/1/2026</v>
      </c>
      <c r="Q24" s="33" t="str">
        <f>IFERROR(__xludf.DUMMYFUNCTION("VLOOKUP(J24,IMPORTRANGE(""https://docs.google.com/spreadsheets/d/1QfInhV6_YXjbJgeCXJ370Rz4ercnFoTR58xB4rzVAmY/edit?gid=1021743590#gid=1021743590"",""T1.2026!D4:G46""),4,0)"),"Online")</f>
        <v>Online</v>
      </c>
      <c r="R24" s="25"/>
      <c r="S24" s="35"/>
      <c r="T24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4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4" s="35"/>
      <c r="W24" s="13"/>
      <c r="X24" s="37"/>
      <c r="Y24" s="38" t="str">
        <f t="shared" si="5"/>
        <v>29/1/2026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IFERROR(__xludf.DUMMYFUNCTION("(VLOOKUP(J25,IMPORTRANGE(""https://docs.google.com/spreadsheets/d/1QfInhV6_YXjbJgeCXJ370Rz4ercnFoTR58xB4rzVAmY/edit?gid=1021743590#gid=1021743590"",""T1.2026!D4:I46""),6,0) &amp;"", ""&amp; TEXT(VLOOKUP(J25,IMPORTRANGE(""https://docs.google.com/spreadsheets/d/1Qf"&amp;"InhV6_YXjbJgeCXJ370Rz4ercnFoTR58xB4rzVAmY/edit?gid=1021743590#gid=1021743590"",""T1.2026!D4:I46""),5,0),""D/M/YYYY""))"),", 30/12/1899")</f>
        <v>, 30/12/1899</v>
      </c>
      <c r="Q25" s="33" t="str">
        <f>IFERROR(__xludf.DUMMYFUNCTION("VLOOKUP(J25,IMPORTRANGE(""https://docs.google.com/spreadsheets/d/1QfInhV6_YXjbJgeCXJ370Rz4ercnFoTR58xB4rzVAmY/edit?gid=1021743590#gid=1021743590"",""T1.2026!D4:G46""),4,0)"),"")</f>
        <v/>
      </c>
      <c r="R25" s="25"/>
      <c r="S25" s="35"/>
      <c r="T25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5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5" s="35"/>
      <c r="W25" s="13"/>
      <c r="X25" s="37"/>
      <c r="Y25" s="38" t="str">
        <f t="shared" si="5"/>
        <v>30/12/1899</v>
      </c>
      <c r="Z25" s="3"/>
      <c r="AA25" s="3"/>
      <c r="AB25" s="3"/>
    </row>
    <row r="26">
      <c r="A26" s="65"/>
      <c r="B26" s="22"/>
      <c r="C26" s="23" t="s">
        <v>203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IFERROR(__xludf.DUMMYFUNCTION("(VLOOKUP(J26,IMPORTRANGE(""https://docs.google.com/spreadsheets/d/1QfInhV6_YXjbJgeCXJ370Rz4ercnFoTR58xB4rzVAmY/edit?gid=1021743590#gid=1021743590"",""T1.2026!D4:I46""),6,0) &amp;"", ""&amp; TEXT(VLOOKUP(J26,IMPORTRANGE(""https://docs.google.com/spreadsheets/d/1Qf"&amp;"InhV6_YXjbJgeCXJ370Rz4ercnFoTR58xB4rzVAmY/edit?gid=1021743590#gid=1021743590"",""T1.2026!D4:I46""),5,0),""D/M/YYYY""))"),", 30/12/1899")</f>
        <v>, 30/12/1899</v>
      </c>
      <c r="Q26" s="33" t="str">
        <f>IFERROR(__xludf.DUMMYFUNCTION("VLOOKUP(J26,IMPORTRANGE(""https://docs.google.com/spreadsheets/d/1QfInhV6_YXjbJgeCXJ370Rz4ercnFoTR58xB4rzVAmY/edit?gid=1021743590#gid=1021743590"",""T1.2026!D4:G46""),4,0)"),"")</f>
        <v/>
      </c>
      <c r="R26" s="25"/>
      <c r="S26" s="35"/>
      <c r="T26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6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6" s="35"/>
      <c r="W26" s="13"/>
      <c r="X26" s="37"/>
      <c r="Y26" s="38" t="str">
        <f t="shared" si="5"/>
        <v>30/12/1899</v>
      </c>
      <c r="Z26" s="3"/>
      <c r="AA26" s="3"/>
      <c r="AB26" s="3"/>
    </row>
    <row r="27">
      <c r="A27" s="65"/>
      <c r="B27" s="39"/>
      <c r="C27" s="23"/>
      <c r="D27" s="24" t="s">
        <v>31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IFERROR(__xludf.DUMMYFUNCTION("(VLOOKUP(J27,IMPORTRANGE(""https://docs.google.com/spreadsheets/d/1QfInhV6_YXjbJgeCXJ370Rz4ercnFoTR58xB4rzVAmY/edit?gid=1021743590#gid=1021743590"",""T1.2026!D4:I46""),6,0) &amp;"", ""&amp; TEXT(VLOOKUP(J27,IMPORTRANGE(""https://docs.google.com/spreadsheets/d/1Qf"&amp;"InhV6_YXjbJgeCXJ370Rz4ercnFoTR58xB4rzVAmY/edit?gid=1021743590#gid=1021743590"",""T1.2026!D4:I46""),5,0),""D/M/YYYY""))"),", 30/12/1899")</f>
        <v>, 30/12/1899</v>
      </c>
      <c r="Q27" s="33" t="str">
        <f>IFERROR(__xludf.DUMMYFUNCTION("VLOOKUP(J27,IMPORTRANGE(""https://docs.google.com/spreadsheets/d/1QfInhV6_YXjbJgeCXJ370Rz4ercnFoTR58xB4rzVAmY/edit?gid=1021743590#gid=1021743590"",""T1.2026!D4:G46""),4,0)"),"")</f>
        <v/>
      </c>
      <c r="R27" s="25"/>
      <c r="S27" s="45" t="s">
        <v>117</v>
      </c>
      <c r="T27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7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7" s="35"/>
      <c r="W27" s="13"/>
      <c r="X27" s="37"/>
      <c r="Y27" s="38" t="str">
        <f t="shared" si="5"/>
        <v>30/12/1899</v>
      </c>
      <c r="Z27" s="3"/>
      <c r="AA27" s="3"/>
      <c r="AB27" s="3"/>
    </row>
    <row r="28">
      <c r="A28" s="65"/>
      <c r="B28" s="39"/>
      <c r="C28" s="23"/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IFERROR(__xludf.DUMMYFUNCTION("(VLOOKUP(J28,IMPORTRANGE(""https://docs.google.com/spreadsheets/d/1QfInhV6_YXjbJgeCXJ370Rz4ercnFoTR58xB4rzVAmY/edit?gid=1021743590#gid=1021743590"",""T1.2026!D4:I46""),6,0) &amp;"", ""&amp; TEXT(VLOOKUP(J28,IMPORTRANGE(""https://docs.google.com/spreadsheets/d/1Qf"&amp;"InhV6_YXjbJgeCXJ370Rz4ercnFoTR58xB4rzVAmY/edit?gid=1021743590#gid=1021743590"",""T1.2026!D4:I46""),5,0),""D/M/YYYY""))"),", 30/12/1899")</f>
        <v>, 30/12/1899</v>
      </c>
      <c r="Q28" s="33" t="str">
        <f>IFERROR(__xludf.DUMMYFUNCTION("VLOOKUP(J28,IMPORTRANGE(""https://docs.google.com/spreadsheets/d/1QfInhV6_YXjbJgeCXJ370Rz4ercnFoTR58xB4rzVAmY/edit?gid=1021743590#gid=1021743590"",""T1.2026!D4:G46""),4,0)"),"")</f>
        <v/>
      </c>
      <c r="R28" s="25"/>
      <c r="S28" s="68" t="s">
        <v>122</v>
      </c>
      <c r="T28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8" s="69" t="s">
        <v>123</v>
      </c>
      <c r="V28" s="45" t="s">
        <v>58</v>
      </c>
      <c r="W28" s="70" t="s">
        <v>58</v>
      </c>
      <c r="X28" s="47" t="s">
        <v>58</v>
      </c>
      <c r="Y28" s="38" t="str">
        <f t="shared" si="5"/>
        <v>30/12/1899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IFERROR(__xludf.DUMMYFUNCTION("(VLOOKUP(J29,IMPORTRANGE(""https://docs.google.com/spreadsheets/d/1QfInhV6_YXjbJgeCXJ370Rz4ercnFoTR58xB4rzVAmY/edit?gid=1021743590#gid=1021743590"",""T1.2026!D4:I46""),6,0) &amp;"", ""&amp; TEXT(VLOOKUP(J29,IMPORTRANGE(""https://docs.google.com/spreadsheets/d/1Qf"&amp;"InhV6_YXjbJgeCXJ370Rz4ercnFoTR58xB4rzVAmY/edit?gid=1021743590#gid=1021743590"",""T1.2026!D4:I46""),5,0),""D/M/YYYY""))"),", 30/12/1899")</f>
        <v>, 30/12/1899</v>
      </c>
      <c r="Q29" s="33" t="str">
        <f>IFERROR(__xludf.DUMMYFUNCTION("VLOOKUP(J29,IMPORTRANGE(""https://docs.google.com/spreadsheets/d/1QfInhV6_YXjbJgeCXJ370Rz4ercnFoTR58xB4rzVAmY/edit?gid=1021743590#gid=1021743590"",""T1.2026!D4:G46""),4,0)"),"")</f>
        <v/>
      </c>
      <c r="R29" s="25"/>
      <c r="S29" s="35"/>
      <c r="T29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29" s="43" t="str">
        <f t="shared" ref="U29:U52" si="6">INDEX(C$37:C$40, MATCH(K29, D$37:D$40, 0))</f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9" s="35"/>
      <c r="W29" s="13"/>
      <c r="X29" s="37"/>
      <c r="Y29" s="38" t="str">
        <f t="shared" si="5"/>
        <v>30/12/1899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IFERROR(__xludf.DUMMYFUNCTION("(VLOOKUP(J30,IMPORTRANGE(""https://docs.google.com/spreadsheets/d/1QfInhV6_YXjbJgeCXJ370Rz4ercnFoTR58xB4rzVAmY/edit?gid=1021743590#gid=1021743590"",""T1.2026!D4:I46""),6,0) &amp;"", ""&amp; TEXT(VLOOKUP(J30,IMPORTRANGE(""https://docs.google.com/spreadsheets/d/1Qf"&amp;"InhV6_YXjbJgeCXJ370Rz4ercnFoTR58xB4rzVAmY/edit?gid=1021743590#gid=1021743590"",""T1.2026!D4:I46""),5,0),""D/M/YYYY""))"),"16h30, 26/1/2026")</f>
        <v>16h30, 26/1/2026</v>
      </c>
      <c r="Q30" s="33" t="str">
        <f>IFERROR(__xludf.DUMMYFUNCTION("VLOOKUP(J30,IMPORTRANGE(""https://docs.google.com/spreadsheets/d/1QfInhV6_YXjbJgeCXJ370Rz4ercnFoTR58xB4rzVAmY/edit?gid=1021743590#gid=1021743590"",""T1.2026!D4:G46""),4,0)"),"Online")</f>
        <v>Online</v>
      </c>
      <c r="R30" s="25"/>
      <c r="S30" s="45" t="s">
        <v>204</v>
      </c>
      <c r="T30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30" s="43" t="str">
        <f t="shared" si="6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0" s="35"/>
      <c r="W30" s="13"/>
      <c r="X30" s="47" t="s">
        <v>130</v>
      </c>
      <c r="Y30" s="38" t="str">
        <f t="shared" si="5"/>
        <v>26/1/2026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IFERROR(__xludf.DUMMYFUNCTION("(VLOOKUP(J31,IMPORTRANGE(""https://docs.google.com/spreadsheets/d/1QfInhV6_YXjbJgeCXJ370Rz4ercnFoTR58xB4rzVAmY/edit?gid=1021743590#gid=1021743590"",""T1.2026!D4:I46""),6,0) &amp;"", ""&amp; TEXT(VLOOKUP(J31,IMPORTRANGE(""https://docs.google.com/spreadsheets/d/1Qf"&amp;"InhV6_YXjbJgeCXJ370Rz4ercnFoTR58xB4rzVAmY/edit?gid=1021743590#gid=1021743590"",""T1.2026!D4:I46""),5,0),""D/M/YYYY""))"),"#N/A")</f>
        <v>#N/A</v>
      </c>
      <c r="Q31" s="33" t="str">
        <f>IFERROR(__xludf.DUMMYFUNCTION("VLOOKUP(J31,IMPORTRANGE(""https://docs.google.com/spreadsheets/d/1QfInhV6_YXjbJgeCXJ370Rz4ercnFoTR58xB4rzVAmY/edit?gid=1021743590#gid=1021743590"",""T1.2026!D4:G46""),4,0)"),"#N/A")</f>
        <v>#N/A</v>
      </c>
      <c r="R31" s="25"/>
      <c r="S31" s="35"/>
      <c r="T31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SV K20 bảo vệ thực tập DN
- Triển khai nhắc nhở SV còn thiếu hồ sơ nhập học</v>
      </c>
      <c r="U31" s="43" t="str">
        <f t="shared" si="6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1" s="35"/>
      <c r="W31" s="13"/>
      <c r="X31" s="37"/>
      <c r="Y31" s="38" t="str">
        <f t="shared" si="5"/>
        <v>#N/A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IFERROR(__xludf.DUMMYFUNCTION("(VLOOKUP(J32,IMPORTRANGE(""https://docs.google.com/spreadsheets/d/1QfInhV6_YXjbJgeCXJ370Rz4ercnFoTR58xB4rzVAmY/edit?gid=1021743590#gid=1021743590"",""T1.2026!D4:I46""),6,0) &amp;"", ""&amp; TEXT(VLOOKUP(J32,IMPORTRANGE(""https://docs.google.com/spreadsheets/d/1Qf"&amp;"InhV6_YXjbJgeCXJ370Rz4ercnFoTR58xB4rzVAmY/edit?gid=1021743590#gid=1021743590"",""T1.2026!D4:I46""),5,0),""D/M/YYYY""))"),", 30/12/1899")</f>
        <v>, 30/12/1899</v>
      </c>
      <c r="Q32" s="33" t="str">
        <f>IFERROR(__xludf.DUMMYFUNCTION("VLOOKUP(J32,IMPORTRANGE(""https://docs.google.com/spreadsheets/d/1QfInhV6_YXjbJgeCXJ370Rz4ercnFoTR58xB4rzVAmY/edit?gid=1021743590#gid=1021743590"",""T1.2026!D4:G46""),4,0)"),"")</f>
        <v/>
      </c>
      <c r="R32" s="25"/>
      <c r="S32" s="35"/>
      <c r="T32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2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2" s="35"/>
      <c r="W32" s="13"/>
      <c r="X32" s="37"/>
      <c r="Y32" s="38" t="str">
        <f t="shared" si="5"/>
        <v>30/12/1899</v>
      </c>
      <c r="Z32" s="3"/>
      <c r="AA32" s="3"/>
      <c r="AB32" s="3"/>
    </row>
    <row r="33">
      <c r="A33" s="65"/>
      <c r="B33" s="39"/>
      <c r="C33" s="23" t="s">
        <v>138</v>
      </c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IFERROR(__xludf.DUMMYFUNCTION("(VLOOKUP(J33,IMPORTRANGE(""https://docs.google.com/spreadsheets/d/1QfInhV6_YXjbJgeCXJ370Rz4ercnFoTR58xB4rzVAmY/edit?gid=1021743590#gid=1021743590"",""T1.2026!D4:I46""),6,0) &amp;"", ""&amp; TEXT(VLOOKUP(J33,IMPORTRANGE(""https://docs.google.com/spreadsheets/d/1Qf"&amp;"InhV6_YXjbJgeCXJ370Rz4ercnFoTR58xB4rzVAmY/edit?gid=1021743590#gid=1021743590"",""T1.2026!D4:I46""),5,0),""D/M/YYYY""))"),", 30/12/1899")</f>
        <v>, 30/12/1899</v>
      </c>
      <c r="Q33" s="33" t="str">
        <f>IFERROR(__xludf.DUMMYFUNCTION("VLOOKUP(J33,IMPORTRANGE(""https://docs.google.com/spreadsheets/d/1QfInhV6_YXjbJgeCXJ370Rz4ercnFoTR58xB4rzVAmY/edit?gid=1021743590#gid=1021743590"",""T1.2026!D4:G46""),4,0)"),"")</f>
        <v/>
      </c>
      <c r="R33" s="25"/>
      <c r="S33" s="35"/>
      <c r="T33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3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3" s="35"/>
      <c r="W33" s="13"/>
      <c r="X33" s="37"/>
      <c r="Y33" s="38" t="str">
        <f t="shared" si="5"/>
        <v>30/12/1899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IFERROR(__xludf.DUMMYFUNCTION("(VLOOKUP(J34,IMPORTRANGE(""https://docs.google.com/spreadsheets/d/1QfInhV6_YXjbJgeCXJ370Rz4ercnFoTR58xB4rzVAmY/edit?gid=1021743590#gid=1021743590"",""T1.2026!D4:I46""),6,0) &amp;"", ""&amp; TEXT(VLOOKUP(J34,IMPORTRANGE(""https://docs.google.com/spreadsheets/d/1Qf"&amp;"InhV6_YXjbJgeCXJ370Rz4ercnFoTR58xB4rzVAmY/edit?gid=1021743590#gid=1021743590"",""T1.2026!D4:I46""),5,0),""D/M/YYYY""))"),", 30/12/1899")</f>
        <v>, 30/12/1899</v>
      </c>
      <c r="Q34" s="33" t="str">
        <f>IFERROR(__xludf.DUMMYFUNCTION("VLOOKUP(J34,IMPORTRANGE(""https://docs.google.com/spreadsheets/d/1QfInhV6_YXjbJgeCXJ370Rz4ercnFoTR58xB4rzVAmY/edit?gid=1021743590#gid=1021743590"",""T1.2026!D4:G46""),4,0)"),"")</f>
        <v/>
      </c>
      <c r="R34" s="25"/>
      <c r="S34" s="35"/>
      <c r="T34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4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4" s="35"/>
      <c r="W34" s="13"/>
      <c r="X34" s="37"/>
      <c r="Y34" s="38" t="str">
        <f t="shared" si="5"/>
        <v>30/12/1899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IFERROR(__xludf.DUMMYFUNCTION("(VLOOKUP(J35,IMPORTRANGE(""https://docs.google.com/spreadsheets/d/1QfInhV6_YXjbJgeCXJ370Rz4ercnFoTR58xB4rzVAmY/edit?gid=1021743590#gid=1021743590"",""T1.2026!D4:I46""),6,0) &amp;"", ""&amp; TEXT(VLOOKUP(J35,IMPORTRANGE(""https://docs.google.com/spreadsheets/d/1Qf"&amp;"InhV6_YXjbJgeCXJ370Rz4ercnFoTR58xB4rzVAmY/edit?gid=1021743590#gid=1021743590"",""T1.2026!D4:I46""),5,0),""D/M/YYYY""))"),"11h00, 29/1/2026")</f>
        <v>11h00, 29/1/2026</v>
      </c>
      <c r="Q35" s="33" t="str">
        <f>IFERROR(__xludf.DUMMYFUNCTION("VLOOKUP(J35,IMPORTRANGE(""https://docs.google.com/spreadsheets/d/1QfInhV6_YXjbJgeCXJ370Rz4ercnFoTR58xB4rzVAmY/edit?gid=1021743590#gid=1021743590"",""T1.2026!D4:G46""),4,0)"),"ĐH302")</f>
        <v>ĐH302</v>
      </c>
      <c r="R35" s="25"/>
      <c r="S35" s="35"/>
      <c r="T35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5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5" s="35"/>
      <c r="W35" s="13"/>
      <c r="X35" s="37"/>
      <c r="Y35" s="38" t="str">
        <f t="shared" si="5"/>
        <v>29/1/2026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IFERROR(__xludf.DUMMYFUNCTION("(VLOOKUP(J36,IMPORTRANGE(""https://docs.google.com/spreadsheets/d/1QfInhV6_YXjbJgeCXJ370Rz4ercnFoTR58xB4rzVAmY/edit?gid=1021743590#gid=1021743590"",""T1.2026!D4:I46""),6,0) &amp;"", ""&amp; TEXT(VLOOKUP(J36,IMPORTRANGE(""https://docs.google.com/spreadsheets/d/1Qf"&amp;"InhV6_YXjbJgeCXJ370Rz4ercnFoTR58xB4rzVAmY/edit?gid=1021743590#gid=1021743590"",""T1.2026!D4:I46""),5,0),""D/M/YYYY""))"),"11h00, 27/1/2026")</f>
        <v>11h00, 27/1/2026</v>
      </c>
      <c r="Q36" s="33" t="str">
        <f>IFERROR(__xludf.DUMMYFUNCTION("VLOOKUP(J36,IMPORTRANGE(""https://docs.google.com/spreadsheets/d/1QfInhV6_YXjbJgeCXJ370Rz4ercnFoTR58xB4rzVAmY/edit?gid=1021743590#gid=1021743590"",""T1.2026!D4:G46""),4,0)"),"ĐH206")</f>
        <v>ĐH206</v>
      </c>
      <c r="R36" s="25"/>
      <c r="S36" s="35"/>
      <c r="T36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6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6" s="35"/>
      <c r="W36" s="13"/>
      <c r="X36" s="37"/>
      <c r="Y36" s="38" t="str">
        <f t="shared" si="5"/>
        <v>27/1/2026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các hoạt động cho HK2 năm học 25-26
- 
- Các nhóm SV NCKH thực hiện theo tiến độ
- GVCN đôn đốc, nhắc nhở và liên hệ về gia đình SV nghỉ nhiều, nợ nhiều học phần
- ")</f>
        <v>- Triển khai các hoạt động cho HK2 năm học 25-26
- 
- Các nhóm SV NCKH thực hiện theo tiến độ
- GVCN đôn đốc, nhắc nhở và liên hệ về gia đình SV nghỉ nhiều, nợ nhiều học phần
- </v>
      </c>
      <c r="D37" s="24" t="s">
        <v>35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IFERROR(__xludf.DUMMYFUNCTION("(VLOOKUP(J37,IMPORTRANGE(""https://docs.google.com/spreadsheets/d/1QfInhV6_YXjbJgeCXJ370Rz4ercnFoTR58xB4rzVAmY/edit?gid=1021743590#gid=1021743590"",""T1.2026!D4:I46""),6,0) &amp;"", ""&amp; TEXT(VLOOKUP(J37,IMPORTRANGE(""https://docs.google.com/spreadsheets/d/1Qf"&amp;"InhV6_YXjbJgeCXJ370Rz4ercnFoTR58xB4rzVAmY/edit?gid=1021743590#gid=1021743590"",""T1.2026!D4:I46""),5,0),""D/M/YYYY""))"),", 30/12/1899")</f>
        <v>, 30/12/1899</v>
      </c>
      <c r="Q37" s="33" t="str">
        <f>IFERROR(__xludf.DUMMYFUNCTION("VLOOKUP(J37,IMPORTRANGE(""https://docs.google.com/spreadsheets/d/1QfInhV6_YXjbJgeCXJ370Rz4ercnFoTR58xB4rzVAmY/edit?gid=1021743590#gid=1021743590"",""T1.2026!D4:G46""),4,0)"),"")</f>
        <v/>
      </c>
      <c r="R37" s="25"/>
      <c r="S37" s="45"/>
      <c r="T37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7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7" s="45" t="s">
        <v>150</v>
      </c>
      <c r="W37" s="70" t="s">
        <v>150</v>
      </c>
      <c r="X37" s="47" t="s">
        <v>151</v>
      </c>
      <c r="Y37" s="38" t="str">
        <f t="shared" si="5"/>
        <v>30/12/1899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")</f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IFERROR(__xludf.DUMMYFUNCTION("(VLOOKUP(J38,IMPORTRANGE(""https://docs.google.com/spreadsheets/d/1QfInhV6_YXjbJgeCXJ370Rz4ercnFoTR58xB4rzVAmY/edit?gid=1021743590#gid=1021743590"",""T1.2026!D4:I46""),6,0) &amp;"", ""&amp; TEXT(VLOOKUP(J38,IMPORTRANGE(""https://docs.google.com/spreadsheets/d/1Qf"&amp;"InhV6_YXjbJgeCXJ370Rz4ercnFoTR58xB4rzVAmY/edit?gid=1021743590#gid=1021743590"",""T1.2026!D4:I46""),5,0),""D/M/YYYY""))"),", 30/12/1899")</f>
        <v>, 30/12/1899</v>
      </c>
      <c r="Q38" s="33" t="str">
        <f>IFERROR(__xludf.DUMMYFUNCTION("VLOOKUP(J38,IMPORTRANGE(""https://docs.google.com/spreadsheets/d/1QfInhV6_YXjbJgeCXJ370Rz4ercnFoTR58xB4rzVAmY/edit?gid=1021743590#gid=1021743590"",""T1.2026!D4:G46""),4,0)"),"")</f>
        <v/>
      </c>
      <c r="R38" s="25"/>
      <c r="S38" s="45"/>
      <c r="T38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8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8" s="45" t="s">
        <v>150</v>
      </c>
      <c r="W38" s="70" t="s">
        <v>150</v>
      </c>
      <c r="X38" s="47" t="s">
        <v>151</v>
      </c>
      <c r="Y38" s="38" t="str">
        <f t="shared" si="5"/>
        <v>30/12/1899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các hoạt động cho HK2 năm học 25-26
- 
- Các nhóm SV NCKH thực hiện theo tiến độ
- GVCN đôn đốc, nhắc nhở và liên hệ về gia đình SV nghỉ nhiều, nợ nhiều học phần
- ")</f>
        <v>- Triển khai các hoạt động cho HK2 năm học 25-26
- 
- Các nhóm SV NCKH thực hiện theo tiến độ
- GVCN đôn đốc, nhắc nhở và liên hệ về gia đình SV nghỉ nhiều, nợ nhiều học phần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IFERROR(__xludf.DUMMYFUNCTION("(VLOOKUP(J39,IMPORTRANGE(""https://docs.google.com/spreadsheets/d/1QfInhV6_YXjbJgeCXJ370Rz4ercnFoTR58xB4rzVAmY/edit?gid=1021743590#gid=1021743590"",""T1.2026!D4:I46""),6,0) &amp;"", ""&amp; TEXT(VLOOKUP(J39,IMPORTRANGE(""https://docs.google.com/spreadsheets/d/1Qf"&amp;"InhV6_YXjbJgeCXJ370Rz4ercnFoTR58xB4rzVAmY/edit?gid=1021743590#gid=1021743590"",""T1.2026!D4:I46""),5,0),""D/M/YYYY""))"),", 30/12/1899")</f>
        <v>, 30/12/1899</v>
      </c>
      <c r="Q39" s="33" t="str">
        <f>IFERROR(__xludf.DUMMYFUNCTION("VLOOKUP(J39,IMPORTRANGE(""https://docs.google.com/spreadsheets/d/1QfInhV6_YXjbJgeCXJ370Rz4ercnFoTR58xB4rzVAmY/edit?gid=1021743590#gid=1021743590"",""T1.2026!D4:G46""),4,0)"),"")</f>
        <v/>
      </c>
      <c r="R39" s="25"/>
      <c r="S39" s="35"/>
      <c r="T39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39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9" s="45" t="s">
        <v>150</v>
      </c>
      <c r="W39" s="70" t="s">
        <v>150</v>
      </c>
      <c r="X39" s="47" t="s">
        <v>156</v>
      </c>
      <c r="Y39" s="38" t="str">
        <f t="shared" si="5"/>
        <v>30/12/1899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các hoạt động cho HK2 năm học 25-26
- 
- Các nhóm SV NCKH thực hiện theo tiến độ
- GVCN đôn đốc, nhắc nhở và liên hệ về gia đình SV nghỉ nhiều, nợ nhiều học phần
- ")</f>
        <v>- Triển khai các hoạt động cho HK2 năm học 25-26
- 
- Các nhóm SV NCKH thực hiện theo tiến độ
- GVCN đôn đốc, nhắc nhở và liên hệ về gia đình SV nghỉ nhiều, nợ nhiều học phần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IFERROR(__xludf.DUMMYFUNCTION("(VLOOKUP(J40,IMPORTRANGE(""https://docs.google.com/spreadsheets/d/1QfInhV6_YXjbJgeCXJ370Rz4ercnFoTR58xB4rzVAmY/edit?gid=1021743590#gid=1021743590"",""T1.2026!D4:I46""),6,0) &amp;"", ""&amp; TEXT(VLOOKUP(J40,IMPORTRANGE(""https://docs.google.com/spreadsheets/d/1Qf"&amp;"InhV6_YXjbJgeCXJ370Rz4ercnFoTR58xB4rzVAmY/edit?gid=1021743590#gid=1021743590"",""T1.2026!D4:I46""),5,0),""D/M/YYYY""))"),", 30/12/1899")</f>
        <v>, 30/12/1899</v>
      </c>
      <c r="Q40" s="33" t="str">
        <f>IFERROR(__xludf.DUMMYFUNCTION("VLOOKUP(J40,IMPORTRANGE(""https://docs.google.com/spreadsheets/d/1QfInhV6_YXjbJgeCXJ370Rz4ercnFoTR58xB4rzVAmY/edit?gid=1021743590#gid=1021743590"",""T1.2026!D4:G46""),4,0)"),"")</f>
        <v/>
      </c>
      <c r="R40" s="25"/>
      <c r="S40" s="45"/>
      <c r="T40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0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0" s="45" t="s">
        <v>150</v>
      </c>
      <c r="W40" s="70" t="s">
        <v>150</v>
      </c>
      <c r="X40" s="47" t="s">
        <v>151</v>
      </c>
      <c r="Y40" s="38" t="str">
        <f t="shared" si="5"/>
        <v>30/12/1899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IFERROR(__xludf.DUMMYFUNCTION("(VLOOKUP(J41,IMPORTRANGE(""https://docs.google.com/spreadsheets/d/1QfInhV6_YXjbJgeCXJ370Rz4ercnFoTR58xB4rzVAmY/edit?gid=1021743590#gid=1021743590"",""T1.2026!D4:I46""),6,0) &amp;"", ""&amp; TEXT(VLOOKUP(J41,IMPORTRANGE(""https://docs.google.com/spreadsheets/d/1Qf"&amp;"InhV6_YXjbJgeCXJ370Rz4ercnFoTR58xB4rzVAmY/edit?gid=1021743590#gid=1021743590"",""T1.2026!D4:I46""),5,0),""D/M/YYYY""))"),"11h00, 27/1/2026")</f>
        <v>11h00, 27/1/2026</v>
      </c>
      <c r="Q41" s="33" t="str">
        <f>IFERROR(__xludf.DUMMYFUNCTION("VLOOKUP(J41,IMPORTRANGE(""https://docs.google.com/spreadsheets/d/1QfInhV6_YXjbJgeCXJ370Rz4ercnFoTR58xB4rzVAmY/edit?gid=1021743590#gid=1021743590"",""T1.2026!D4:G46""),4,0)"),"ĐH205")</f>
        <v>ĐH205</v>
      </c>
      <c r="R41" s="25"/>
      <c r="S41" s="45" t="s">
        <v>205</v>
      </c>
      <c r="T41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1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1" s="35"/>
      <c r="W41" s="13"/>
      <c r="X41" s="47" t="s">
        <v>130</v>
      </c>
      <c r="Y41" s="38" t="str">
        <f t="shared" si="5"/>
        <v>27/1/2026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9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IFERROR(__xludf.DUMMYFUNCTION("(VLOOKUP(J42,IMPORTRANGE(""https://docs.google.com/spreadsheets/d/1QfInhV6_YXjbJgeCXJ370Rz4ercnFoTR58xB4rzVAmY/edit?gid=1021743590#gid=1021743590"",""T1.2026!D4:I46""),6,0) &amp;"", ""&amp; TEXT(VLOOKUP(J42,IMPORTRANGE(""https://docs.google.com/spreadsheets/d/1Qf"&amp;"InhV6_YXjbJgeCXJ370Rz4ercnFoTR58xB4rzVAmY/edit?gid=1021743590#gid=1021743590"",""T1.2026!D4:I46""),5,0),""D/M/YYYY""))"),"#N/A")</f>
        <v>#N/A</v>
      </c>
      <c r="Q42" s="33" t="str">
        <f>IFERROR(__xludf.DUMMYFUNCTION("VLOOKUP(J42,IMPORTRANGE(""https://docs.google.com/spreadsheets/d/1QfInhV6_YXjbJgeCXJ370Rz4ercnFoTR58xB4rzVAmY/edit?gid=1021743590#gid=1021743590"",""T1.2026!D4:G46""),4,0)"),"#N/A")</f>
        <v>#N/A</v>
      </c>
      <c r="R42" s="25"/>
      <c r="S42" s="35"/>
      <c r="T42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2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2" s="35"/>
      <c r="W42" s="13"/>
      <c r="X42" s="37"/>
      <c r="Y42" s="38" t="str">
        <f t="shared" si="5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IFERROR(__xludf.DUMMYFUNCTION("(VLOOKUP(J43,IMPORTRANGE(""https://docs.google.com/spreadsheets/d/1QfInhV6_YXjbJgeCXJ370Rz4ercnFoTR58xB4rzVAmY/edit?gid=1021743590#gid=1021743590"",""T1.2026!D4:I46""),6,0) &amp;"", ""&amp; TEXT(VLOOKUP(J43,IMPORTRANGE(""https://docs.google.com/spreadsheets/d/1Qf"&amp;"InhV6_YXjbJgeCXJ370Rz4ercnFoTR58xB4rzVAmY/edit?gid=1021743590#gid=1021743590"",""T1.2026!D4:I46""),5,0),""D/M/YYYY""))"),"11h00, 3/2/2026")</f>
        <v>11h00, 3/2/2026</v>
      </c>
      <c r="Q43" s="33" t="str">
        <f>IFERROR(__xludf.DUMMYFUNCTION("VLOOKUP(J43,IMPORTRANGE(""https://docs.google.com/spreadsheets/d/1QfInhV6_YXjbJgeCXJ370Rz4ercnFoTR58xB4rzVAmY/edit?gid=1021743590#gid=1021743590"",""T1.2026!D4:G46""),4,0)"),"ĐH306(TH)")</f>
        <v>ĐH306(TH)</v>
      </c>
      <c r="R43" s="25"/>
      <c r="S43" s="35"/>
      <c r="T43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3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3" s="35"/>
      <c r="W43" s="13"/>
      <c r="X43" s="37"/>
      <c r="Y43" s="38" t="str">
        <f t="shared" si="5"/>
        <v>3/2/2026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IFERROR(__xludf.DUMMYFUNCTION("(VLOOKUP(J44,IMPORTRANGE(""https://docs.google.com/spreadsheets/d/1QfInhV6_YXjbJgeCXJ370Rz4ercnFoTR58xB4rzVAmY/edit?gid=1021743590#gid=1021743590"",""T1.2026!D4:I46""),6,0) &amp;"", ""&amp; TEXT(VLOOKUP(J44,IMPORTRANGE(""https://docs.google.com/spreadsheets/d/1Qf"&amp;"InhV6_YXjbJgeCXJ370Rz4ercnFoTR58xB4rzVAmY/edit?gid=1021743590#gid=1021743590"",""T1.2026!D4:I46""),5,0),""D/M/YYYY""))"),"11h00, 2/2/2026")</f>
        <v>11h00, 2/2/2026</v>
      </c>
      <c r="Q44" s="33" t="str">
        <f>IFERROR(__xludf.DUMMYFUNCTION("VLOOKUP(J44,IMPORTRANGE(""https://docs.google.com/spreadsheets/d/1QfInhV6_YXjbJgeCXJ370Rz4ercnFoTR58xB4rzVAmY/edit?gid=1021743590#gid=1021743590"",""T1.2026!D4:G46""),4,0)"),"ĐH303")</f>
        <v>ĐH303</v>
      </c>
      <c r="R44" s="25"/>
      <c r="S44" s="35"/>
      <c r="T44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4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4" s="35"/>
      <c r="W44" s="13"/>
      <c r="X44" s="37"/>
      <c r="Y44" s="38" t="str">
        <f t="shared" si="5"/>
        <v>2/2/2026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IFERROR(__xludf.DUMMYFUNCTION("(VLOOKUP(J45,IMPORTRANGE(""https://docs.google.com/spreadsheets/d/1QfInhV6_YXjbJgeCXJ370Rz4ercnFoTR58xB4rzVAmY/edit?gid=1021743590#gid=1021743590"",""T1.2026!D4:I46""),6,0) &amp;"", ""&amp; TEXT(VLOOKUP(J45,IMPORTRANGE(""https://docs.google.com/spreadsheets/d/1Qf"&amp;"InhV6_YXjbJgeCXJ370Rz4ercnFoTR58xB4rzVAmY/edit?gid=1021743590#gid=1021743590"",""T1.2026!D4:I46""),5,0),""D/M/YYYY""))"),"#N/A")</f>
        <v>#N/A</v>
      </c>
      <c r="Q45" s="33" t="str">
        <f>IFERROR(__xludf.DUMMYFUNCTION("VLOOKUP(J45,IMPORTRANGE(""https://docs.google.com/spreadsheets/d/1QfInhV6_YXjbJgeCXJ370Rz4ercnFoTR58xB4rzVAmY/edit?gid=1021743590#gid=1021743590"",""T1.2026!D4:G46""),4,0)"),"#N/A")</f>
        <v>#N/A</v>
      </c>
      <c r="R45" s="25"/>
      <c r="S45" s="35"/>
      <c r="T45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5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5" s="35"/>
      <c r="W45" s="13"/>
      <c r="X45" s="37"/>
      <c r="Y45" s="38" t="str">
        <f t="shared" si="5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IFERROR(__xludf.DUMMYFUNCTION("(VLOOKUP(J46,IMPORTRANGE(""https://docs.google.com/spreadsheets/d/1QfInhV6_YXjbJgeCXJ370Rz4ercnFoTR58xB4rzVAmY/edit?gid=1021743590#gid=1021743590"",""T1.2026!D4:I46""),6,0) &amp;"", ""&amp; TEXT(VLOOKUP(J46,IMPORTRANGE(""https://docs.google.com/spreadsheets/d/1Qf"&amp;"InhV6_YXjbJgeCXJ370Rz4ercnFoTR58xB4rzVAmY/edit?gid=1021743590#gid=1021743590"",""T1.2026!D4:I46""),5,0),""D/M/YYYY""))"),"#N/A")</f>
        <v>#N/A</v>
      </c>
      <c r="Q46" s="33" t="str">
        <f>IFERROR(__xludf.DUMMYFUNCTION("VLOOKUP(J46,IMPORTRANGE(""https://docs.google.com/spreadsheets/d/1QfInhV6_YXjbJgeCXJ370Rz4ercnFoTR58xB4rzVAmY/edit?gid=1021743590#gid=1021743590"",""T1.2026!D4:G46""),4,0)"),"#N/A")</f>
        <v>#N/A</v>
      </c>
      <c r="R46" s="25"/>
      <c r="S46" s="35"/>
      <c r="T46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6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6" s="35"/>
      <c r="W46" s="13"/>
      <c r="X46" s="37"/>
      <c r="Y46" s="38" t="str">
        <f t="shared" si="5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IFERROR(__xludf.DUMMYFUNCTION("(VLOOKUP(J47,IMPORTRANGE(""https://docs.google.com/spreadsheets/d/1QfInhV6_YXjbJgeCXJ370Rz4ercnFoTR58xB4rzVAmY/edit?gid=1021743590#gid=1021743590"",""T1.2026!D4:I46""),6,0) &amp;"", ""&amp; TEXT(VLOOKUP(J47,IMPORTRANGE(""https://docs.google.com/spreadsheets/d/1Qf"&amp;"InhV6_YXjbJgeCXJ370Rz4ercnFoTR58xB4rzVAmY/edit?gid=1021743590#gid=1021743590"",""T1.2026!D4:I46""),5,0),""D/M/YYYY""))"),", 30/12/1899")</f>
        <v>, 30/12/1899</v>
      </c>
      <c r="Q47" s="33" t="str">
        <f>IFERROR(__xludf.DUMMYFUNCTION("VLOOKUP(J47,IMPORTRANGE(""https://docs.google.com/spreadsheets/d/1QfInhV6_YXjbJgeCXJ370Rz4ercnFoTR58xB4rzVAmY/edit?gid=1021743590#gid=1021743590"",""T1.2026!D4:G46""),4,0)"),"")</f>
        <v/>
      </c>
      <c r="R47" s="25"/>
      <c r="S47" s="45" t="s">
        <v>178</v>
      </c>
      <c r="T47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7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7" s="45" t="s">
        <v>179</v>
      </c>
      <c r="W47" s="26" t="s">
        <v>180</v>
      </c>
      <c r="X47" s="37"/>
      <c r="Y47" s="38" t="str">
        <f t="shared" si="5"/>
        <v>30/12/1899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IFERROR(__xludf.DUMMYFUNCTION("(VLOOKUP(J48,IMPORTRANGE(""https://docs.google.com/spreadsheets/d/1QfInhV6_YXjbJgeCXJ370Rz4ercnFoTR58xB4rzVAmY/edit?gid=1021743590#gid=1021743590"",""T1.2026!D4:I46""),6,0) &amp;"", ""&amp; TEXT(VLOOKUP(J48,IMPORTRANGE(""https://docs.google.com/spreadsheets/d/1Qf"&amp;"InhV6_YXjbJgeCXJ370Rz4ercnFoTR58xB4rzVAmY/edit?gid=1021743590#gid=1021743590"",""T1.2026!D4:I46""),5,0),""D/M/YYYY""))"),", 30/12/1899")</f>
        <v>, 30/12/1899</v>
      </c>
      <c r="Q48" s="33" t="str">
        <f>IFERROR(__xludf.DUMMYFUNCTION("VLOOKUP(J48,IMPORTRANGE(""https://docs.google.com/spreadsheets/d/1QfInhV6_YXjbJgeCXJ370Rz4ercnFoTR58xB4rzVAmY/edit?gid=1021743590#gid=1021743590"",""T1.2026!D4:G46""),4,0)"),"")</f>
        <v/>
      </c>
      <c r="R48" s="25"/>
      <c r="S48" s="45" t="s">
        <v>178</v>
      </c>
      <c r="T48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8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8" s="45" t="s">
        <v>179</v>
      </c>
      <c r="W48" s="26" t="s">
        <v>180</v>
      </c>
      <c r="X48" s="37"/>
      <c r="Y48" s="38" t="str">
        <f t="shared" si="5"/>
        <v>30/12/1899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IFERROR(__xludf.DUMMYFUNCTION("(VLOOKUP(J49,IMPORTRANGE(""https://docs.google.com/spreadsheets/d/1QfInhV6_YXjbJgeCXJ370Rz4ercnFoTR58xB4rzVAmY/edit?gid=1021743590#gid=1021743590"",""T1.2026!D4:I46""),6,0) &amp;"", ""&amp; TEXT(VLOOKUP(J49,IMPORTRANGE(""https://docs.google.com/spreadsheets/d/1Qf"&amp;"InhV6_YXjbJgeCXJ370Rz4ercnFoTR58xB4rzVAmY/edit?gid=1021743590#gid=1021743590"",""T1.2026!D4:I46""),5,0),""D/M/YYYY""))"),", 30/12/1899")</f>
        <v>, 30/12/1899</v>
      </c>
      <c r="Q49" s="33" t="str">
        <f>IFERROR(__xludf.DUMMYFUNCTION("VLOOKUP(J49,IMPORTRANGE(""https://docs.google.com/spreadsheets/d/1QfInhV6_YXjbJgeCXJ370Rz4ercnFoTR58xB4rzVAmY/edit?gid=1021743590#gid=1021743590"",""T1.2026!D4:G46""),4,0)"),"")</f>
        <v/>
      </c>
      <c r="R49" s="25"/>
      <c r="S49" s="45" t="s">
        <v>178</v>
      </c>
      <c r="T49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49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9" s="45" t="s">
        <v>179</v>
      </c>
      <c r="W49" s="26" t="s">
        <v>180</v>
      </c>
      <c r="X49" s="37"/>
      <c r="Y49" s="38" t="str">
        <f t="shared" si="5"/>
        <v>30/12/1899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IFERROR(__xludf.DUMMYFUNCTION("(VLOOKUP(J50,IMPORTRANGE(""https://docs.google.com/spreadsheets/d/1QfInhV6_YXjbJgeCXJ370Rz4ercnFoTR58xB4rzVAmY/edit?gid=1021743590#gid=1021743590"",""T1.2026!D4:I46""),6,0) &amp;"", ""&amp; TEXT(VLOOKUP(J50,IMPORTRANGE(""https://docs.google.com/spreadsheets/d/1Qf"&amp;"InhV6_YXjbJgeCXJ370Rz4ercnFoTR58xB4rzVAmY/edit?gid=1021743590#gid=1021743590"",""T1.2026!D4:I46""),5,0),""D/M/YYYY""))"),", 30/12/1899")</f>
        <v>, 30/12/1899</v>
      </c>
      <c r="Q50" s="33" t="str">
        <f>IFERROR(__xludf.DUMMYFUNCTION("VLOOKUP(J50,IMPORTRANGE(""https://docs.google.com/spreadsheets/d/1QfInhV6_YXjbJgeCXJ370Rz4ercnFoTR58xB4rzVAmY/edit?gid=1021743590#gid=1021743590"",""T1.2026!D4:G46""),4,0)"),"")</f>
        <v/>
      </c>
      <c r="R50" s="25"/>
      <c r="S50" s="45" t="s">
        <v>178</v>
      </c>
      <c r="T50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50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50" s="45" t="s">
        <v>179</v>
      </c>
      <c r="W50" s="70" t="s">
        <v>179</v>
      </c>
      <c r="X50" s="37"/>
      <c r="Y50" s="38" t="str">
        <f t="shared" si="5"/>
        <v>30/12/1899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IFERROR(__xludf.DUMMYFUNCTION("(VLOOKUP(J51,IMPORTRANGE(""https://docs.google.com/spreadsheets/d/1QfInhV6_YXjbJgeCXJ370Rz4ercnFoTR58xB4rzVAmY/edit?gid=1021743590#gid=1021743590"",""T1.2026!D4:I46""),6,0) &amp;"", ""&amp; TEXT(VLOOKUP(J51,IMPORTRANGE(""https://docs.google.com/spreadsheets/d/1Qf"&amp;"InhV6_YXjbJgeCXJ370Rz4ercnFoTR58xB4rzVAmY/edit?gid=1021743590#gid=1021743590"",""T1.2026!D4:I46""),5,0),""D/M/YYYY""))"),", 30/12/1899")</f>
        <v>, 30/12/1899</v>
      </c>
      <c r="Q51" s="33" t="str">
        <f>IFERROR(__xludf.DUMMYFUNCTION("VLOOKUP(J51,IMPORTRANGE(""https://docs.google.com/spreadsheets/d/1QfInhV6_YXjbJgeCXJ370Rz4ercnFoTR58xB4rzVAmY/edit?gid=1021743590#gid=1021743590"",""T1.2026!D4:G46""),4,0)"),"")</f>
        <v/>
      </c>
      <c r="R51" s="25"/>
      <c r="S51" s="45" t="s">
        <v>178</v>
      </c>
      <c r="T51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51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51" s="45" t="s">
        <v>179</v>
      </c>
      <c r="W51" s="26" t="s">
        <v>180</v>
      </c>
      <c r="X51" s="37"/>
      <c r="Y51" s="38" t="str">
        <f t="shared" si="5"/>
        <v>30/12/1899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IFERROR(__xludf.DUMMYFUNCTION("(VLOOKUP(J52,IMPORTRANGE(""https://docs.google.com/spreadsheets/d/1QfInhV6_YXjbJgeCXJ370Rz4ercnFoTR58xB4rzVAmY/edit?gid=1021743590#gid=1021743590"",""T1.2026!D4:I46""),6,0) &amp;"", ""&amp; TEXT(VLOOKUP(J52,IMPORTRANGE(""https://docs.google.com/spreadsheets/d/1Qf"&amp;"InhV6_YXjbJgeCXJ370Rz4ercnFoTR58xB4rzVAmY/edit?gid=1021743590#gid=1021743590"",""T1.2026!D4:I46""),5,0),""D/M/YYYY""))"),"10h50, 29/1/2026")</f>
        <v>10h50, 29/1/2026</v>
      </c>
      <c r="Q52" s="33" t="str">
        <f>IFERROR(__xludf.DUMMYFUNCTION("VLOOKUP(J52,IMPORTRANGE(""https://docs.google.com/spreadsheets/d/1QfInhV6_YXjbJgeCXJ370Rz4ercnFoTR58xB4rzVAmY/edit?gid=1021743590#gid=1021743590"",""T1.2026!D4:G46""),4,0)"),"ĐH205")</f>
        <v>ĐH205</v>
      </c>
      <c r="R52" s="25"/>
      <c r="S52" s="45" t="s">
        <v>206</v>
      </c>
      <c r="T52" s="35" t="str">
        <f t="shared" si="3"/>
        <v>- Thông báo cài đặt, đăng ký sử dụng BHYT trên VSSID
- TB về việc nộp tiền BHYT năm 2026
- TB SV đánh giá TC GVCN
- TB đánh giá điểm rèn luyện HK1 năm học 25-26
- 
- Triển khai các nhóm SV Khởi nghiệp, NCKH
- Triển khai nhắc nhở SV còn thiếu hồ sơ nhập học</v>
      </c>
      <c r="U52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52" s="35"/>
      <c r="W52" s="13"/>
      <c r="X52" s="37"/>
      <c r="Y52" s="38" t="str">
        <f t="shared" si="5"/>
        <v>29/1/2026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 t="str">
        <f>IFERROR(__xludf.DUMMYFUNCTION("(VLOOKUP(J53,IMPORTRANGE(""https://docs.google.com/spreadsheets/d/1QfInhV6_YXjbJgeCXJ370Rz4ercnFoTR58xB4rzVAmY/edit?gid=1021743590#gid=1021743590"",""T1.2026!D4:I46""),6,0) &amp;"", ""&amp; TEXT(VLOOKUP(J53,IMPORTRANGE(""https://docs.google.com/spreadsheets/d/1Qf"&amp;"InhV6_YXjbJgeCXJ370Rz4ercnFoTR58xB4rzVAmY/edit?gid=1021743590#gid=1021743590"",""T1.2026!D4:I46""),5,0),""D/M/YYYY""))"),"#N/A")</f>
        <v>#N/A</v>
      </c>
      <c r="Q53" s="33" t="str">
        <f>IFERROR(__xludf.DUMMYFUNCTION("VLOOKUP(J53,IMPORTRANGE(""https://docs.google.com/spreadsheets/d/1QfInhV6_YXjbJgeCXJ370Rz4ercnFoTR58xB4rzVAmY/edit?gid=1021743590#gid=1021743590"",""T1.2026!D4:G46""),4,0)"),"#N/A")</f>
        <v>#N/A</v>
      </c>
      <c r="R53" s="25"/>
      <c r="S53" s="35"/>
      <c r="T53" s="35"/>
      <c r="U53" s="43"/>
      <c r="V53" s="35"/>
      <c r="W53" s="13"/>
      <c r="X53" s="37"/>
      <c r="Y53" s="38" t="str">
        <f t="shared" si="5"/>
        <v>#N/A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 t="str">
        <f>IFERROR(__xludf.DUMMYFUNCTION("(VLOOKUP(J54,IMPORTRANGE(""https://docs.google.com/spreadsheets/d/1QfInhV6_YXjbJgeCXJ370Rz4ercnFoTR58xB4rzVAmY/edit?gid=1021743590#gid=1021743590"",""T1.2026!D4:I46""),6,0) &amp;"", ""&amp; TEXT(VLOOKUP(J54,IMPORTRANGE(""https://docs.google.com/spreadsheets/d/1Qf"&amp;"InhV6_YXjbJgeCXJ370Rz4ercnFoTR58xB4rzVAmY/edit?gid=1021743590#gid=1021743590"",""T1.2026!D4:I46""),5,0),""D/M/YYYY""))"),"#N/A")</f>
        <v>#N/A</v>
      </c>
      <c r="Q54" s="33" t="str">
        <f>IFERROR(__xludf.DUMMYFUNCTION("VLOOKUP(J54,IMPORTRANGE(""https://docs.google.com/spreadsheets/d/1QfInhV6_YXjbJgeCXJ370Rz4ercnFoTR58xB4rzVAmY/edit?gid=1021743590#gid=1021743590"",""T1.2026!D4:G46""),4,0)"),"#N/A")</f>
        <v>#N/A</v>
      </c>
      <c r="R54" s="25"/>
      <c r="S54" s="45"/>
      <c r="T54" s="35"/>
      <c r="U54" s="43"/>
      <c r="V54" s="35"/>
      <c r="W54" s="13"/>
      <c r="X54" s="37"/>
      <c r="Y54" s="38" t="str">
        <f t="shared" si="5"/>
        <v>#N/A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 t="str">
        <f>IFERROR(__xludf.DUMMYFUNCTION("(VLOOKUP(J55,IMPORTRANGE(""https://docs.google.com/spreadsheets/d/1QfInhV6_YXjbJgeCXJ370Rz4ercnFoTR58xB4rzVAmY/edit?gid=1021743590#gid=1021743590"",""T1.2026!D4:I46""),6,0) &amp;"", ""&amp; TEXT(VLOOKUP(J55,IMPORTRANGE(""https://docs.google.com/spreadsheets/d/1Qf"&amp;"InhV6_YXjbJgeCXJ370Rz4ercnFoTR58xB4rzVAmY/edit?gid=1021743590#gid=1021743590"",""T1.2026!D4:I46""),5,0),""D/M/YYYY""))"),"#N/A")</f>
        <v>#N/A</v>
      </c>
      <c r="Q55" s="33" t="str">
        <f>IFERROR(__xludf.DUMMYFUNCTION("VLOOKUP(J55,IMPORTRANGE(""https://docs.google.com/spreadsheets/d/1QfInhV6_YXjbJgeCXJ370Rz4ercnFoTR58xB4rzVAmY/edit?gid=1021743590#gid=1021743590"",""T1.2026!D4:G46""),4,0)"),"#N/A")</f>
        <v>#N/A</v>
      </c>
      <c r="R55" s="25"/>
      <c r="S55" s="35"/>
      <c r="T55" s="35"/>
      <c r="U55" s="43"/>
      <c r="V55" s="35"/>
      <c r="W55" s="13"/>
      <c r="X55" s="37"/>
      <c r="Y55" s="38" t="str">
        <f t="shared" si="5"/>
        <v>#N/A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InputMessage="1" showErrorMessage="1" prompt="Click and enter a value from the list of items" sqref="D8:D19 D26:D36">
      <formula1>"ALL,K23,K20,K21,K22"</formula1>
    </dataValidation>
    <dataValidation type="list" allowBlank="1" showErrorMessage="1" sqref="G8">
      <formula1>"1232"</formula1>
    </dataValidation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</hyperlinks>
  <printOptions/>
  <pageMargins bottom="0.31496062992125984" footer="0.0" header="0.0" left="0.4330708661417323" right="0.1968503937007874" top="0.31496062992125984"/>
  <pageSetup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71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12.0</v>
      </c>
      <c r="E6" s="5">
        <v>2025.0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19" t="s">
        <v>20</v>
      </c>
      <c r="Q7" s="94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195</v>
      </c>
      <c r="D8" s="24" t="s">
        <v>31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IFERROR(__xludf.DUMMYFUNCTION("(VLOOKUP(J8,IMPORTRANGE(""https://docs.google.com/spreadsheets/d/1QfInhV6_YXjbJgeCXJ370Rz4ercnFoTR58xB4rzVAmY/edit?gid=1021743590#gid=1021743590"",""T12.2025!D4:I46""),6,0) &amp;"", ""&amp; TEXT(VLOOKUP(J8,IMPORTRANGE(""https://docs.google.com/spreadsheets/d/1QfI"&amp;"nhV6_YXjbJgeCXJ370Rz4ercnFoTR58xB4rzVAmY/edit?gid=1021743590#gid=1021743590"",""T12.2025!D4:I46""),5,0),""D/M/YYYY""))"),"#N/A")</f>
        <v>#N/A</v>
      </c>
      <c r="Q8" s="33" t="str">
        <f>IFERROR(__xludf.DUMMYFUNCTION("VLOOKUP(J8,IMPORTRANGE(""https://docs.google.com/spreadsheets/d/1QfInhV6_YXjbJgeCXJ370Rz4ercnFoTR58xB4rzVAmY/edit?gid=1021743590#gid=1021743590"",""T12.2025!D4:G46""),4,0)"),"#N/A")</f>
        <v>#N/A</v>
      </c>
      <c r="R8" s="30">
        <v>3.0</v>
      </c>
      <c r="S8" s="34"/>
      <c r="T8" s="35" t="str">
        <f t="shared" ref="T8:T10" si="1">INDEX(C$20:C$23, MATCH(K8, D$20:D$23, 0))</f>
        <v>- Thông báo cài đặt, đăng ký sử dụng BHYT trên VSSID
- TB về việc nộp tiền BHYT năm 2026
- TB Lịch nghỉ tết dương lịch
- TB lịch thi KTHP
- 
- Triển khai các nhóm SV Khởi nghiệp, NCKH</v>
      </c>
      <c r="U8" s="36" t="s">
        <v>207</v>
      </c>
      <c r="V8" s="35"/>
      <c r="W8" s="13"/>
      <c r="X8" s="37"/>
      <c r="Y8" s="38" t="str">
        <f t="shared" ref="Y8:Y19" si="2">TRIM(MID(P8, FIND(",", P8) + 1, LEN(P8)))</f>
        <v>#N/A</v>
      </c>
      <c r="Z8" s="3"/>
      <c r="AA8" s="3"/>
      <c r="AB8" s="3"/>
    </row>
    <row r="9">
      <c r="A9" s="1"/>
      <c r="B9" s="39"/>
      <c r="C9" s="23" t="s">
        <v>40</v>
      </c>
      <c r="D9" s="24" t="s">
        <v>31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IFERROR(__xludf.DUMMYFUNCTION("(VLOOKUP(J9,IMPORTRANGE(""https://docs.google.com/spreadsheets/d/1QfInhV6_YXjbJgeCXJ370Rz4ercnFoTR58xB4rzVAmY/edit?gid=1021743590#gid=1021743590"",""T12.2025!D4:I46""),6,0) &amp;"", ""&amp; TEXT(VLOOKUP(J9,IMPORTRANGE(""https://docs.google.com/spreadsheets/d/1QfI"&amp;"nhV6_YXjbJgeCXJ370Rz4ercnFoTR58xB4rzVAmY/edit?gid=1021743590#gid=1021743590"",""T12.2025!D4:I46""),5,0),""D/M/YYYY""))"),"#N/A")</f>
        <v>#N/A</v>
      </c>
      <c r="Q9" s="33" t="str">
        <f>IFERROR(__xludf.DUMMYFUNCTION("VLOOKUP(J9,IMPORTRANGE(""https://docs.google.com/spreadsheets/d/1QfInhV6_YXjbJgeCXJ370Rz4ercnFoTR58xB4rzVAmY/edit?gid=1021743590#gid=1021743590"",""T12.2025!D4:G46""),4,0)"),"#N/A")</f>
        <v>#N/A</v>
      </c>
      <c r="R9" s="25"/>
      <c r="S9" s="35"/>
      <c r="T9" s="35" t="str">
        <f t="shared" si="1"/>
        <v>- Thông báo cài đặt, đăng ký sử dụng BHYT trên VSSID
- TB về việc nộp tiền BHYT năm 2026
- TB Lịch nghỉ tết dương lịch
- TB lịch thi KTHP
- 
- Triển khai các nhóm SV Khởi nghiệp, NCKH</v>
      </c>
      <c r="U9" s="36" t="s">
        <v>208</v>
      </c>
      <c r="V9" s="35"/>
      <c r="W9" s="13"/>
      <c r="X9" s="37"/>
      <c r="Y9" s="38" t="str">
        <f t="shared" si="2"/>
        <v>#N/A</v>
      </c>
      <c r="Z9" s="3"/>
      <c r="AA9" s="3"/>
      <c r="AB9" s="3"/>
    </row>
    <row r="10">
      <c r="A10" s="1"/>
      <c r="B10" s="39"/>
      <c r="C10" s="23" t="s">
        <v>209</v>
      </c>
      <c r="D10" s="24" t="s">
        <v>31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IFERROR(__xludf.DUMMYFUNCTION("(VLOOKUP(J10,IMPORTRANGE(""https://docs.google.com/spreadsheets/d/1QfInhV6_YXjbJgeCXJ370Rz4ercnFoTR58xB4rzVAmY/edit?gid=1021743590#gid=1021743590"",""T12.2025!D4:I46""),6,0) &amp;"", ""&amp; TEXT(VLOOKUP(J10,IMPORTRANGE(""https://docs.google.com/spreadsheets/d/1Q"&amp;"fInhV6_YXjbJgeCXJ370Rz4ercnFoTR58xB4rzVAmY/edit?gid=1021743590#gid=1021743590"",""T12.2025!D4:I46""),5,0),""D/M/YYYY""))"),"#N/A")</f>
        <v>#N/A</v>
      </c>
      <c r="Q10" s="33" t="str">
        <f>IFERROR(__xludf.DUMMYFUNCTION("VLOOKUP(J10,IMPORTRANGE(""https://docs.google.com/spreadsheets/d/1QfInhV6_YXjbJgeCXJ370Rz4ercnFoTR58xB4rzVAmY/edit?gid=1021743590#gid=1021743590"",""T12.2025!D4:G46""),4,0)"),"#N/A")</f>
        <v>#N/A</v>
      </c>
      <c r="R10" s="25"/>
      <c r="S10" s="35"/>
      <c r="T10" s="35" t="str">
        <f t="shared" si="1"/>
        <v>- Thông báo cài đặt, đăng ký sử dụng BHYT trên VSSID
- TB về việc nộp tiền BHYT năm 2026
- TB Lịch nghỉ tết dương lịch
- TB lịch thi KTHP
- 
- Triển khai các nhóm SV Khởi nghiệp, NCKH</v>
      </c>
      <c r="U10" s="43" t="str">
        <f t="array" ref="U10">INDEX(C$37:C$40, MATCH(K10, D$37:D$40, 0))</f>
        <v>- Triển khai các hoạt động cho HK2 năm học 25-26
- 
- Các nhóm SV NCKH thực hiện theo tiến độ
- GVCN đôn đốc, nhắc nhở và liên hệ về gia đình SV nghỉ nhiều, nợ nhiều học phần
- </v>
      </c>
      <c r="V10" s="35"/>
      <c r="W10" s="13"/>
      <c r="X10" s="37"/>
      <c r="Y10" s="38" t="str">
        <f t="shared" si="2"/>
        <v>#N/A</v>
      </c>
      <c r="Z10" s="3"/>
      <c r="AA10" s="3"/>
      <c r="AB10" s="3"/>
    </row>
    <row r="11">
      <c r="A11" s="1"/>
      <c r="B11" s="39"/>
      <c r="C11" s="23" t="s">
        <v>210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53</v>
      </c>
      <c r="O11" s="44" t="s">
        <v>54</v>
      </c>
      <c r="P11" s="33" t="str">
        <f>IFERROR(__xludf.DUMMYFUNCTION("(VLOOKUP(J11,IMPORTRANGE(""https://docs.google.com/spreadsheets/d/1QfInhV6_YXjbJgeCXJ370Rz4ercnFoTR58xB4rzVAmY/edit?gid=1021743590#gid=1021743590"",""T12.2025!D4:I46""),6,0) &amp;"", ""&amp; TEXT(VLOOKUP(J11,IMPORTRANGE(""https://docs.google.com/spreadsheets/d/1Q"&amp;"fInhV6_YXjbJgeCXJ370Rz4ercnFoTR58xB4rzVAmY/edit?gid=1021743590#gid=1021743590"",""T12.2025!D4:I46""),5,0),""D/M/YYYY""))"),"#N/A")</f>
        <v>#N/A</v>
      </c>
      <c r="Q11" s="33" t="str">
        <f>IFERROR(__xludf.DUMMYFUNCTION("VLOOKUP(J11,IMPORTRANGE(""https://docs.google.com/spreadsheets/d/1QfInhV6_YXjbJgeCXJ370Rz4ercnFoTR58xB4rzVAmY/edit?gid=1021743590#gid=1021743590"",""T12.2025!D4:G46""),4,0)"),"#N/A")</f>
        <v>#N/A</v>
      </c>
      <c r="R11" s="30">
        <v>1.0</v>
      </c>
      <c r="S11" s="45" t="s">
        <v>55</v>
      </c>
      <c r="T11" s="45" t="s">
        <v>56</v>
      </c>
      <c r="U11" s="46" t="s">
        <v>57</v>
      </c>
      <c r="V11" s="45" t="s">
        <v>58</v>
      </c>
      <c r="W11" s="45" t="s">
        <v>58</v>
      </c>
      <c r="X11" s="47" t="s">
        <v>58</v>
      </c>
      <c r="Y11" s="38" t="str">
        <f t="shared" si="2"/>
        <v>#N/A</v>
      </c>
      <c r="Z11" s="3"/>
      <c r="AA11" s="3"/>
      <c r="AB11" s="3"/>
    </row>
    <row r="12">
      <c r="A12" s="1"/>
      <c r="B12" s="39"/>
      <c r="C12" s="23"/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IFERROR(__xludf.DUMMYFUNCTION("(VLOOKUP(J12,IMPORTRANGE(""https://docs.google.com/spreadsheets/d/1QfInhV6_YXjbJgeCXJ370Rz4ercnFoTR58xB4rzVAmY/edit?gid=1021743590#gid=1021743590"",""T12.2025!D4:I46""),6,0) &amp;"", ""&amp; TEXT(VLOOKUP(J12,IMPORTRANGE(""https://docs.google.com/spreadsheets/d/1Q"&amp;"fInhV6_YXjbJgeCXJ370Rz4ercnFoTR58xB4rzVAmY/edit?gid=1021743590#gid=1021743590"",""T12.2025!D4:I46""),5,0),""D/M/YYYY""))"),"#N/A")</f>
        <v>#N/A</v>
      </c>
      <c r="Q12" s="33" t="str">
        <f>IFERROR(__xludf.DUMMYFUNCTION("VLOOKUP(J12,IMPORTRANGE(""https://docs.google.com/spreadsheets/d/1QfInhV6_YXjbJgeCXJ370Rz4ercnFoTR58xB4rzVAmY/edit?gid=1021743590#gid=1021743590"",""T12.2025!D4:G46""),4,0)"),"#N/A")</f>
        <v>#N/A</v>
      </c>
      <c r="R12" s="25"/>
      <c r="T12" s="35" t="str">
        <f t="shared" ref="T12:T52" si="3">INDEX(C$20:C$23, MATCH(K12, D$20:D$23, 0))</f>
        <v>- Thông báo cài đặt, đăng ký sử dụng BHYT trên VSSID
- TB về việc nộp tiền BHYT năm 2026
- TB Lịch nghỉ tết dương lịch
- TB lịch thi KTHP
- 
- Triển khai các nhóm SV Khởi nghiệp, NCKH</v>
      </c>
      <c r="U12" s="43" t="str">
        <f t="shared" ref="U12:U27" si="4">INDEX(C$37:C$40, MATCH(K12, D$37:D$40, 0))</f>
        <v>- Triển khai các hoạt động cho HK2 năm học 25-26
- 
- Các nhóm SV NCKH thực hiện theo tiến độ
- GVCN đôn đốc, nhắc nhở và liên hệ về gia đình SV nghỉ nhiều, nợ nhiều học phần
- </v>
      </c>
      <c r="V12" s="35"/>
      <c r="W12" s="13"/>
      <c r="X12" s="37"/>
      <c r="Y12" s="38" t="str">
        <f t="shared" si="2"/>
        <v>#N/A</v>
      </c>
      <c r="Z12" s="3"/>
      <c r="AA12" s="3"/>
      <c r="AB12" s="3"/>
    </row>
    <row r="13">
      <c r="A13" s="1"/>
      <c r="B13" s="48"/>
      <c r="C13" s="23"/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IFERROR(__xludf.DUMMYFUNCTION("(VLOOKUP(J13,IMPORTRANGE(""https://docs.google.com/spreadsheets/d/1QfInhV6_YXjbJgeCXJ370Rz4ercnFoTR58xB4rzVAmY/edit?gid=1021743590#gid=1021743590"",""T12.2025!D4:I46""),6,0) &amp;"", ""&amp; TEXT(VLOOKUP(J13,IMPORTRANGE(""https://docs.google.com/spreadsheets/d/1Q"&amp;"fInhV6_YXjbJgeCXJ370Rz4ercnFoTR58xB4rzVAmY/edit?gid=1021743590#gid=1021743590"",""T12.2025!D4:I46""),5,0),""D/M/YYYY""))"),"#N/A")</f>
        <v>#N/A</v>
      </c>
      <c r="Q13" s="33" t="str">
        <f>IFERROR(__xludf.DUMMYFUNCTION("VLOOKUP(J13,IMPORTRANGE(""https://docs.google.com/spreadsheets/d/1QfInhV6_YXjbJgeCXJ370Rz4ercnFoTR58xB4rzVAmY/edit?gid=1021743590#gid=1021743590"",""T12.2025!D4:G46""),4,0)"),"#N/A")</f>
        <v>#N/A</v>
      </c>
      <c r="R13" s="25"/>
      <c r="S13" s="35"/>
      <c r="T13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3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3" s="35"/>
      <c r="W13" s="13"/>
      <c r="X13" s="37"/>
      <c r="Y13" s="38" t="str">
        <f t="shared" si="2"/>
        <v>#N/A</v>
      </c>
      <c r="Z13" s="3"/>
      <c r="AA13" s="3"/>
      <c r="AB13" s="3"/>
    </row>
    <row r="14">
      <c r="A14" s="1"/>
      <c r="B14" s="51" t="s">
        <v>65</v>
      </c>
      <c r="C14" s="23" t="s">
        <v>66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IFERROR(__xludf.DUMMYFUNCTION("(VLOOKUP(J14,IMPORTRANGE(""https://docs.google.com/spreadsheets/d/1QfInhV6_YXjbJgeCXJ370Rz4ercnFoTR58xB4rzVAmY/edit?gid=1021743590#gid=1021743590"",""T12.2025!D4:I46""),6,0) &amp;"", ""&amp; TEXT(VLOOKUP(J14,IMPORTRANGE(""https://docs.google.com/spreadsheets/d/1Q"&amp;"fInhV6_YXjbJgeCXJ370Rz4ercnFoTR58xB4rzVAmY/edit?gid=1021743590#gid=1021743590"",""T12.2025!D4:I46""),5,0),""D/M/YYYY""))"),"#N/A")</f>
        <v>#N/A</v>
      </c>
      <c r="Q14" s="33" t="str">
        <f>IFERROR(__xludf.DUMMYFUNCTION("VLOOKUP(J14,IMPORTRANGE(""https://docs.google.com/spreadsheets/d/1QfInhV6_YXjbJgeCXJ370Rz4ercnFoTR58xB4rzVAmY/edit?gid=1021743590#gid=1021743590"",""T12.2025!D4:G46""),4,0)"),"#N/A")</f>
        <v>#N/A</v>
      </c>
      <c r="R14" s="25"/>
      <c r="S14" s="35"/>
      <c r="T14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4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4" s="35"/>
      <c r="W14" s="13"/>
      <c r="X14" s="37"/>
      <c r="Y14" s="38" t="str">
        <f t="shared" si="2"/>
        <v>#N/A</v>
      </c>
      <c r="Z14" s="3"/>
      <c r="AA14" s="3"/>
      <c r="AB14" s="3"/>
    </row>
    <row r="15">
      <c r="A15" s="1"/>
      <c r="B15" s="39"/>
      <c r="C15" s="23" t="s">
        <v>211</v>
      </c>
      <c r="D15" s="24" t="s">
        <v>69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IFERROR(__xludf.DUMMYFUNCTION("(VLOOKUP(J15,IMPORTRANGE(""https://docs.google.com/spreadsheets/d/1QfInhV6_YXjbJgeCXJ370Rz4ercnFoTR58xB4rzVAmY/edit?gid=1021743590#gid=1021743590"",""T12.2025!D4:I46""),6,0) &amp;"", ""&amp; TEXT(VLOOKUP(J15,IMPORTRANGE(""https://docs.google.com/spreadsheets/d/1Q"&amp;"fInhV6_YXjbJgeCXJ370Rz4ercnFoTR58xB4rzVAmY/edit?gid=1021743590#gid=1021743590"",""T12.2025!D4:I46""),5,0),""D/M/YYYY""))"),"#N/A")</f>
        <v>#N/A</v>
      </c>
      <c r="Q15" s="33" t="str">
        <f>IFERROR(__xludf.DUMMYFUNCTION("VLOOKUP(J15,IMPORTRANGE(""https://docs.google.com/spreadsheets/d/1QfInhV6_YXjbJgeCXJ370Rz4ercnFoTR58xB4rzVAmY/edit?gid=1021743590#gid=1021743590"",""T12.2025!D4:G46""),4,0)"),"#N/A")</f>
        <v>#N/A</v>
      </c>
      <c r="R15" s="25"/>
      <c r="S15" s="35"/>
      <c r="T15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5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5" s="35"/>
      <c r="W15" s="13"/>
      <c r="X15" s="37"/>
      <c r="Y15" s="38" t="str">
        <f t="shared" si="2"/>
        <v>#N/A</v>
      </c>
      <c r="Z15" s="3"/>
      <c r="AA15" s="3"/>
      <c r="AB15" s="3"/>
    </row>
    <row r="16">
      <c r="A16" s="1"/>
      <c r="B16" s="39"/>
      <c r="D16" s="24"/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IFERROR(__xludf.DUMMYFUNCTION("(VLOOKUP(J16,IMPORTRANGE(""https://docs.google.com/spreadsheets/d/1QfInhV6_YXjbJgeCXJ370Rz4ercnFoTR58xB4rzVAmY/edit?gid=1021743590#gid=1021743590"",""T12.2025!D4:I46""),6,0) &amp;"", ""&amp; TEXT(VLOOKUP(J16,IMPORTRANGE(""https://docs.google.com/spreadsheets/d/1Q"&amp;"fInhV6_YXjbJgeCXJ370Rz4ercnFoTR58xB4rzVAmY/edit?gid=1021743590#gid=1021743590"",""T12.2025!D4:I46""),5,0),""D/M/YYYY""))"),"#N/A")</f>
        <v>#N/A</v>
      </c>
      <c r="Q16" s="33" t="str">
        <f>IFERROR(__xludf.DUMMYFUNCTION("VLOOKUP(J16,IMPORTRANGE(""https://docs.google.com/spreadsheets/d/1QfInhV6_YXjbJgeCXJ370Rz4ercnFoTR58xB4rzVAmY/edit?gid=1021743590#gid=1021743590"",""T12.2025!D4:G46""),4,0)"),"#N/A")</f>
        <v>#N/A</v>
      </c>
      <c r="R16" s="25"/>
      <c r="S16" s="35"/>
      <c r="T16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6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6" s="35"/>
      <c r="W16" s="13"/>
      <c r="X16" s="37"/>
      <c r="Y16" s="38" t="str">
        <f t="shared" si="2"/>
        <v>#N/A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IFERROR(__xludf.DUMMYFUNCTION("(VLOOKUP(J17,IMPORTRANGE(""https://docs.google.com/spreadsheets/d/1QfInhV6_YXjbJgeCXJ370Rz4ercnFoTR58xB4rzVAmY/edit?gid=1021743590#gid=1021743590"",""T12.2025!D4:I46""),6,0) &amp;"", ""&amp; TEXT(VLOOKUP(J17,IMPORTRANGE(""https://docs.google.com/spreadsheets/d/1Q"&amp;"fInhV6_YXjbJgeCXJ370Rz4ercnFoTR58xB4rzVAmY/edit?gid=1021743590#gid=1021743590"",""T12.2025!D4:I46""),5,0),""D/M/YYYY""))"),"#N/A")</f>
        <v>#N/A</v>
      </c>
      <c r="Q17" s="33" t="str">
        <f>IFERROR(__xludf.DUMMYFUNCTION("VLOOKUP(J17,IMPORTRANGE(""https://docs.google.com/spreadsheets/d/1QfInhV6_YXjbJgeCXJ370Rz4ercnFoTR58xB4rzVAmY/edit?gid=1021743590#gid=1021743590"",""T12.2025!D4:G46""),4,0)"),"#N/A")</f>
        <v>#N/A</v>
      </c>
      <c r="R17" s="25"/>
      <c r="S17" s="35"/>
      <c r="T17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7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7" s="35"/>
      <c r="W17" s="13"/>
      <c r="X17" s="37"/>
      <c r="Y17" s="38" t="str">
        <f t="shared" si="2"/>
        <v>#N/A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6">
        <v>23.0</v>
      </c>
      <c r="N18" s="42" t="s">
        <v>79</v>
      </c>
      <c r="O18" s="42"/>
      <c r="P18" s="33" t="str">
        <f>IFERROR(__xludf.DUMMYFUNCTION("(VLOOKUP(J18,IMPORTRANGE(""https://docs.google.com/spreadsheets/d/1QfInhV6_YXjbJgeCXJ370Rz4ercnFoTR58xB4rzVAmY/edit?gid=1021743590#gid=1021743590"",""T12.2025!D4:I46""),6,0) &amp;"", ""&amp; TEXT(VLOOKUP(J18,IMPORTRANGE(""https://docs.google.com/spreadsheets/d/1Q"&amp;"fInhV6_YXjbJgeCXJ370Rz4ercnFoTR58xB4rzVAmY/edit?gid=1021743590#gid=1021743590"",""T12.2025!D4:I46""),5,0),""D/M/YYYY""))"),"10h00, 25/12/0256")</f>
        <v>10h00, 25/12/0256</v>
      </c>
      <c r="Q18" s="33" t="str">
        <f>IFERROR(__xludf.DUMMYFUNCTION("VLOOKUP(J18,IMPORTRANGE(""https://docs.google.com/spreadsheets/d/1QfInhV6_YXjbJgeCXJ370Rz4ercnFoTR58xB4rzVAmY/edit?gid=1021743590#gid=1021743590"",""T12.2025!D4:G46""),4,0)"),"ĐH206")</f>
        <v>ĐH206</v>
      </c>
      <c r="R18" s="25"/>
      <c r="S18" s="45" t="s">
        <v>212</v>
      </c>
      <c r="T18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8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8" s="35"/>
      <c r="W18" s="13"/>
      <c r="X18" s="37"/>
      <c r="Y18" s="38" t="str">
        <f t="shared" si="2"/>
        <v>25/12/0256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57" t="s">
        <v>81</v>
      </c>
      <c r="K19" s="5" t="s">
        <v>35</v>
      </c>
      <c r="L19" s="30" t="s">
        <v>78</v>
      </c>
      <c r="M19" s="56">
        <v>74.0</v>
      </c>
      <c r="N19" s="42" t="s">
        <v>82</v>
      </c>
      <c r="O19" s="42"/>
      <c r="P19" s="33" t="str">
        <f>IFERROR(__xludf.DUMMYFUNCTION("(VLOOKUP(J19,IMPORTRANGE(""https://docs.google.com/spreadsheets/d/1QfInhV6_YXjbJgeCXJ370Rz4ercnFoTR58xB4rzVAmY/edit?gid=1021743590#gid=1021743590"",""T12.2025!D4:I46""),6,0) &amp;"", ""&amp; TEXT(VLOOKUP(J19,IMPORTRANGE(""https://docs.google.com/spreadsheets/d/1Q"&amp;"fInhV6_YXjbJgeCXJ370Rz4ercnFoTR58xB4rzVAmY/edit?gid=1021743590#gid=1021743590"",""T12.2025!D4:I46""),5,0),""D/M/YYYY""))"),"#N/A")</f>
        <v>#N/A</v>
      </c>
      <c r="Q19" s="33" t="str">
        <f>IFERROR(__xludf.DUMMYFUNCTION("VLOOKUP(J19,IMPORTRANGE(""https://docs.google.com/spreadsheets/d/1QfInhV6_YXjbJgeCXJ370Rz4ercnFoTR58xB4rzVAmY/edit?gid=1021743590#gid=1021743590"",""T12.2025!D4:G46""),4,0)"),"#N/A")</f>
        <v>#N/A</v>
      </c>
      <c r="R19" s="25"/>
      <c r="S19" s="45" t="s">
        <v>213</v>
      </c>
      <c r="T19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19" s="43" t="str">
        <f t="shared" si="4"/>
        <v>- Triển khai các hoạt động cho HK2 năm học 25-26
- 
- Các nhóm SV NCKH thực hiện theo tiến độ
- GVCN đôn đốc, nhắc nhở và liên hệ về gia đình SV nghỉ nhiều, nợ nhiều học phần
- </v>
      </c>
      <c r="V19" s="35"/>
      <c r="W19" s="13"/>
      <c r="X19" s="37"/>
      <c r="Y19" s="38" t="str">
        <f t="shared" si="2"/>
        <v>#N/A</v>
      </c>
      <c r="Z19" s="3"/>
      <c r="AA19" s="3"/>
      <c r="AB19" s="3"/>
    </row>
    <row r="20" ht="118.5" customHeight="1">
      <c r="A20" s="1"/>
      <c r="B20" s="51" t="s">
        <v>84</v>
      </c>
      <c r="C20" s="58" t="str">
        <f>IFERROR(__xludf.DUMMYFUNCTION("JOIN(CHAR(10), FILTER(""- "" &amp; C$8:C$19, (D$8:D$19 = ""ALL"") + (D$8:D$19 = D20)))"),"- Thông báo cài đặt, đăng ký sử dụng BHYT trên VSSID
- TB về việc nộp tiền BHYT năm 2026
- TB Lịch nghỉ tết dương lịch
- TB lịch thi KTHP
- 
- Triển khai các nhóm SV Khởi nghiệp, NCKH")</f>
        <v>- Thông báo cài đặt, đăng ký sử dụng BHYT trên VSSID
- TB về việc nộp tiền BHYT năm 2026
- TB Lịch nghỉ tết dương lịch
- TB lịch thi KTHP
- 
- Triển khai các nhóm SV Khởi nghiệp, NCKH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IFERROR(__xludf.DUMMYFUNCTION("(VLOOKUP(J20,IMPORTRANGE(""https://docs.google.com/spreadsheets/d/1QfInhV6_YXjbJgeCXJ370Rz4ercnFoTR58xB4rzVAmY/edit?gid=1021743590#gid=1021743590"",""T12.2025!D4:I46""),6,0) &amp;"", ""&amp; TEXT(VLOOKUP(J20,IMPORTRANGE(""https://docs.google.com/spreadsheets/d/1Q"&amp;"fInhV6_YXjbJgeCXJ370Rz4ercnFoTR58xB4rzVAmY/edit?gid=1021743590#gid=1021743590"",""T12.2025!D4:I46""),5,0),""D/M/YYYY""))"),", 30/12/1899")</f>
        <v>, 30/12/1899</v>
      </c>
      <c r="Q20" s="33" t="str">
        <f>IFERROR(__xludf.DUMMYFUNCTION("VLOOKUP(J20,IMPORTRANGE(""https://docs.google.com/spreadsheets/d/1QfInhV6_YXjbJgeCXJ370Rz4ercnFoTR58xB4rzVAmY/edit?gid=1021743590#gid=1021743590"",""T12.2025!D4:G46""),4,0)"),"")</f>
        <v/>
      </c>
      <c r="R20" s="25"/>
      <c r="S20" s="35"/>
      <c r="T20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0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Thông báo cài đặt, đăng ký sử dụng BHYT trên VSSID
- TB về việc nộp tiền BHYT năm 2026
- TB Lịch nghỉ tết dương lịch
- TB lịch thi KTHP
- 
- Triển khai các nhóm SV Khởi nghiệp, NCKH
- Triển khai SV K20 thực tập DN")</f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IFERROR(__xludf.DUMMYFUNCTION("(VLOOKUP(J21,IMPORTRANGE(""https://docs.google.com/spreadsheets/d/1QfInhV6_YXjbJgeCXJ370Rz4ercnFoTR58xB4rzVAmY/edit?gid=1021743590#gid=1021743590"",""T12.2025!D4:I46""),6,0) &amp;"", ""&amp; TEXT(VLOOKUP(J21,IMPORTRANGE(""https://docs.google.com/spreadsheets/d/1Q"&amp;"fInhV6_YXjbJgeCXJ370Rz4ercnFoTR58xB4rzVAmY/edit?gid=1021743590#gid=1021743590"",""T12.2025!D4:I46""),5,0),""D/M/YYYY""))"),", 30/12/1899")</f>
        <v>, 30/12/1899</v>
      </c>
      <c r="Q21" s="33" t="str">
        <f>IFERROR(__xludf.DUMMYFUNCTION("VLOOKUP(J21,IMPORTRANGE(""https://docs.google.com/spreadsheets/d/1QfInhV6_YXjbJgeCXJ370Rz4ercnFoTR58xB4rzVAmY/edit?gid=1021743590#gid=1021743590"",""T12.2025!D4:G46""),4,0)"),"")</f>
        <v/>
      </c>
      <c r="R21" s="25"/>
      <c r="S21" s="35"/>
      <c r="T21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1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Thông báo cài đặt, đăng ký sử dụng BHYT trên VSSID
- TB về việc nộp tiền BHYT năm 2026
- TB Lịch nghỉ tết dương lịch
- TB lịch thi KTHP
- 
- Triển khai các nhóm SV Khởi nghiệp, NCKH")</f>
        <v>- Thông báo cài đặt, đăng ký sử dụng BHYT trên VSSID
- TB về việc nộp tiền BHYT năm 2026
- TB Lịch nghỉ tết dương lịch
- TB lịch thi KTHP
- 
- Triển khai các nhóm SV Khởi nghiệp, NCKH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IFERROR(__xludf.DUMMYFUNCTION("(VLOOKUP(J22,IMPORTRANGE(""https://docs.google.com/spreadsheets/d/1QfInhV6_YXjbJgeCXJ370Rz4ercnFoTR58xB4rzVAmY/edit?gid=1021743590#gid=1021743590"",""T12.2025!D4:I46""),6,0) &amp;"", ""&amp; TEXT(VLOOKUP(J22,IMPORTRANGE(""https://docs.google.com/spreadsheets/d/1Q"&amp;"fInhV6_YXjbJgeCXJ370Rz4ercnFoTR58xB4rzVAmY/edit?gid=1021743590#gid=1021743590"",""T12.2025!D4:I46""),5,0),""D/M/YYYY""))"),"20h00, 30/12/2025")</f>
        <v>20h00, 30/12/2025</v>
      </c>
      <c r="Q22" s="33" t="str">
        <f>IFERROR(__xludf.DUMMYFUNCTION("VLOOKUP(J22,IMPORTRANGE(""https://docs.google.com/spreadsheets/d/1QfInhV6_YXjbJgeCXJ370Rz4ercnFoTR58xB4rzVAmY/edit?gid=1021743590#gid=1021743590"",""T12.2025!D4:G46""),4,0)"),"Online")</f>
        <v>Online</v>
      </c>
      <c r="R22" s="25"/>
      <c r="S22" s="35"/>
      <c r="T22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2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Thông báo cài đặt, đăng ký sử dụng BHYT trên VSSID
- TB về việc nộp tiền BHYT năm 2026
- TB Lịch nghỉ tết dương lịch
- TB lịch thi KTHP
- 
- Triển khai các nhóm SV Khởi nghiệp, NCKH")</f>
        <v>- Thông báo cài đặt, đăng ký sử dụng BHYT trên VSSID
- TB về việc nộp tiền BHYT năm 2026
- TB Lịch nghỉ tết dương lịch
- TB lịch thi KTHP
- 
- Triển khai các nhóm SV Khởi nghiệp, NCKH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IFERROR(__xludf.DUMMYFUNCTION("(VLOOKUP(J23,IMPORTRANGE(""https://docs.google.com/spreadsheets/d/1QfInhV6_YXjbJgeCXJ370Rz4ercnFoTR58xB4rzVAmY/edit?gid=1021743590#gid=1021743590"",""T12.2025!D4:I46""),6,0) &amp;"", ""&amp; TEXT(VLOOKUP(J23,IMPORTRANGE(""https://docs.google.com/spreadsheets/d/1Q"&amp;"fInhV6_YXjbJgeCXJ370Rz4ercnFoTR58xB4rzVAmY/edit?gid=1021743590#gid=1021743590"",""T12.2025!D4:I46""),5,0),""D/M/YYYY""))"),", 30/12/1899")</f>
        <v>, 30/12/1899</v>
      </c>
      <c r="Q23" s="33" t="str">
        <f>IFERROR(__xludf.DUMMYFUNCTION("VLOOKUP(J23,IMPORTRANGE(""https://docs.google.com/spreadsheets/d/1QfInhV6_YXjbJgeCXJ370Rz4ercnFoTR58xB4rzVAmY/edit?gid=1021743590#gid=1021743590"",""T12.2025!D4:G46""),4,0)"),"")</f>
        <v/>
      </c>
      <c r="R23" s="25"/>
      <c r="S23" s="35"/>
      <c r="T23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3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3" s="35"/>
      <c r="W23" s="13"/>
      <c r="X23" s="37"/>
      <c r="Y23" s="38" t="str">
        <f t="shared" ref="Y23:Y55" si="5">TRIM(MID(P23, FIND(",", P23) + 1, LEN(P23)))</f>
        <v>30/12/1899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IFERROR(__xludf.DUMMYFUNCTION("(VLOOKUP(J24,IMPORTRANGE(""https://docs.google.com/spreadsheets/d/1QfInhV6_YXjbJgeCXJ370Rz4ercnFoTR58xB4rzVAmY/edit?gid=1021743590#gid=1021743590"",""T12.2025!D4:I46""),6,0) &amp;"", ""&amp; TEXT(VLOOKUP(J24,IMPORTRANGE(""https://docs.google.com/spreadsheets/d/1Q"&amp;"fInhV6_YXjbJgeCXJ370Rz4ercnFoTR58xB4rzVAmY/edit?gid=1021743590#gid=1021743590"",""T12.2025!D4:I46""),5,0),""D/M/YYYY""))"),"20h00, 30/12/2025")</f>
        <v>20h00, 30/12/2025</v>
      </c>
      <c r="Q24" s="33" t="str">
        <f>IFERROR(__xludf.DUMMYFUNCTION("VLOOKUP(J24,IMPORTRANGE(""https://docs.google.com/spreadsheets/d/1QfInhV6_YXjbJgeCXJ370Rz4ercnFoTR58xB4rzVAmY/edit?gid=1021743590#gid=1021743590"",""T12.2025!D4:G46""),4,0)"),"Online")</f>
        <v>Online</v>
      </c>
      <c r="R24" s="25"/>
      <c r="S24" s="35"/>
      <c r="T24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4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4" s="35"/>
      <c r="W24" s="13"/>
      <c r="X24" s="37"/>
      <c r="Y24" s="38" t="str">
        <f t="shared" si="5"/>
        <v>30/12/2025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IFERROR(__xludf.DUMMYFUNCTION("(VLOOKUP(J25,IMPORTRANGE(""https://docs.google.com/spreadsheets/d/1QfInhV6_YXjbJgeCXJ370Rz4ercnFoTR58xB4rzVAmY/edit?gid=1021743590#gid=1021743590"",""T12.2025!D4:I46""),6,0) &amp;"", ""&amp; TEXT(VLOOKUP(J25,IMPORTRANGE(""https://docs.google.com/spreadsheets/d/1Q"&amp;"fInhV6_YXjbJgeCXJ370Rz4ercnFoTR58xB4rzVAmY/edit?gid=1021743590#gid=1021743590"",""T12.2025!D4:I46""),5,0),""D/M/YYYY""))"),", 30/12/1899")</f>
        <v>, 30/12/1899</v>
      </c>
      <c r="Q25" s="33" t="str">
        <f>IFERROR(__xludf.DUMMYFUNCTION("VLOOKUP(J25,IMPORTRANGE(""https://docs.google.com/spreadsheets/d/1QfInhV6_YXjbJgeCXJ370Rz4ercnFoTR58xB4rzVAmY/edit?gid=1021743590#gid=1021743590"",""T12.2025!D4:G46""),4,0)"),"")</f>
        <v/>
      </c>
      <c r="R25" s="25"/>
      <c r="S25" s="35"/>
      <c r="T25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5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5" s="35"/>
      <c r="W25" s="13"/>
      <c r="X25" s="37"/>
      <c r="Y25" s="38" t="str">
        <f t="shared" si="5"/>
        <v>30/12/1899</v>
      </c>
      <c r="Z25" s="3"/>
      <c r="AA25" s="3"/>
      <c r="AB25" s="3"/>
    </row>
    <row r="26">
      <c r="A26" s="65"/>
      <c r="B26" s="22"/>
      <c r="C26" s="23" t="s">
        <v>203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IFERROR(__xludf.DUMMYFUNCTION("(VLOOKUP(J26,IMPORTRANGE(""https://docs.google.com/spreadsheets/d/1QfInhV6_YXjbJgeCXJ370Rz4ercnFoTR58xB4rzVAmY/edit?gid=1021743590#gid=1021743590"",""T12.2025!D4:I46""),6,0) &amp;"", ""&amp; TEXT(VLOOKUP(J26,IMPORTRANGE(""https://docs.google.com/spreadsheets/d/1Q"&amp;"fInhV6_YXjbJgeCXJ370Rz4ercnFoTR58xB4rzVAmY/edit?gid=1021743590#gid=1021743590"",""T12.2025!D4:I46""),5,0),""D/M/YYYY""))"),", 30/12/1899")</f>
        <v>, 30/12/1899</v>
      </c>
      <c r="Q26" s="33" t="str">
        <f>IFERROR(__xludf.DUMMYFUNCTION("VLOOKUP(J26,IMPORTRANGE(""https://docs.google.com/spreadsheets/d/1QfInhV6_YXjbJgeCXJ370Rz4ercnFoTR58xB4rzVAmY/edit?gid=1021743590#gid=1021743590"",""T12.2025!D4:G46""),4,0)"),"")</f>
        <v/>
      </c>
      <c r="R26" s="25"/>
      <c r="S26" s="35"/>
      <c r="T26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6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6" s="35"/>
      <c r="W26" s="13"/>
      <c r="X26" s="37"/>
      <c r="Y26" s="38" t="str">
        <f t="shared" si="5"/>
        <v>30/12/1899</v>
      </c>
      <c r="Z26" s="3"/>
      <c r="AA26" s="3"/>
      <c r="AB26" s="3"/>
    </row>
    <row r="27">
      <c r="A27" s="65"/>
      <c r="B27" s="39"/>
      <c r="C27" s="23"/>
      <c r="D27" s="24" t="s">
        <v>31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IFERROR(__xludf.DUMMYFUNCTION("(VLOOKUP(J27,IMPORTRANGE(""https://docs.google.com/spreadsheets/d/1QfInhV6_YXjbJgeCXJ370Rz4ercnFoTR58xB4rzVAmY/edit?gid=1021743590#gid=1021743590"",""T12.2025!D4:I46""),6,0) &amp;"", ""&amp; TEXT(VLOOKUP(J27,IMPORTRANGE(""https://docs.google.com/spreadsheets/d/1Q"&amp;"fInhV6_YXjbJgeCXJ370Rz4ercnFoTR58xB4rzVAmY/edit?gid=1021743590#gid=1021743590"",""T12.2025!D4:I46""),5,0),""D/M/YYYY""))"),", 30/12/1899")</f>
        <v>, 30/12/1899</v>
      </c>
      <c r="Q27" s="33" t="str">
        <f>IFERROR(__xludf.DUMMYFUNCTION("VLOOKUP(J27,IMPORTRANGE(""https://docs.google.com/spreadsheets/d/1QfInhV6_YXjbJgeCXJ370Rz4ercnFoTR58xB4rzVAmY/edit?gid=1021743590#gid=1021743590"",""T12.2025!D4:G46""),4,0)"),"")</f>
        <v/>
      </c>
      <c r="R27" s="25"/>
      <c r="S27" s="45" t="s">
        <v>117</v>
      </c>
      <c r="T27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7" s="43" t="str">
        <f t="shared" si="4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7" s="35"/>
      <c r="W27" s="13"/>
      <c r="X27" s="37"/>
      <c r="Y27" s="38" t="str">
        <f t="shared" si="5"/>
        <v>30/12/1899</v>
      </c>
      <c r="Z27" s="3"/>
      <c r="AA27" s="3"/>
      <c r="AB27" s="3"/>
    </row>
    <row r="28">
      <c r="A28" s="65"/>
      <c r="B28" s="39"/>
      <c r="C28" s="23"/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IFERROR(__xludf.DUMMYFUNCTION("(VLOOKUP(J28,IMPORTRANGE(""https://docs.google.com/spreadsheets/d/1QfInhV6_YXjbJgeCXJ370Rz4ercnFoTR58xB4rzVAmY/edit?gid=1021743590#gid=1021743590"",""T12.2025!D4:I46""),6,0) &amp;"", ""&amp; TEXT(VLOOKUP(J28,IMPORTRANGE(""https://docs.google.com/spreadsheets/d/1Q"&amp;"fInhV6_YXjbJgeCXJ370Rz4ercnFoTR58xB4rzVAmY/edit?gid=1021743590#gid=1021743590"",""T12.2025!D4:I46""),5,0),""D/M/YYYY""))"),", 30/12/1899")</f>
        <v>, 30/12/1899</v>
      </c>
      <c r="Q28" s="33" t="str">
        <f>IFERROR(__xludf.DUMMYFUNCTION("VLOOKUP(J28,IMPORTRANGE(""https://docs.google.com/spreadsheets/d/1QfInhV6_YXjbJgeCXJ370Rz4ercnFoTR58xB4rzVAmY/edit?gid=1021743590#gid=1021743590"",""T12.2025!D4:G46""),4,0)"),"")</f>
        <v/>
      </c>
      <c r="R28" s="25"/>
      <c r="S28" s="68" t="s">
        <v>122</v>
      </c>
      <c r="T28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8" s="69" t="s">
        <v>123</v>
      </c>
      <c r="V28" s="45" t="s">
        <v>58</v>
      </c>
      <c r="W28" s="70" t="s">
        <v>58</v>
      </c>
      <c r="X28" s="47" t="s">
        <v>58</v>
      </c>
      <c r="Y28" s="38" t="str">
        <f t="shared" si="5"/>
        <v>30/12/1899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IFERROR(__xludf.DUMMYFUNCTION("(VLOOKUP(J29,IMPORTRANGE(""https://docs.google.com/spreadsheets/d/1QfInhV6_YXjbJgeCXJ370Rz4ercnFoTR58xB4rzVAmY/edit?gid=1021743590#gid=1021743590"",""T12.2025!D4:I46""),6,0) &amp;"", ""&amp; TEXT(VLOOKUP(J29,IMPORTRANGE(""https://docs.google.com/spreadsheets/d/1Q"&amp;"fInhV6_YXjbJgeCXJ370Rz4ercnFoTR58xB4rzVAmY/edit?gid=1021743590#gid=1021743590"",""T12.2025!D4:I46""),5,0),""D/M/YYYY""))"),", 30/12/1899")</f>
        <v>, 30/12/1899</v>
      </c>
      <c r="Q29" s="33" t="str">
        <f>IFERROR(__xludf.DUMMYFUNCTION("VLOOKUP(J29,IMPORTRANGE(""https://docs.google.com/spreadsheets/d/1QfInhV6_YXjbJgeCXJ370Rz4ercnFoTR58xB4rzVAmY/edit?gid=1021743590#gid=1021743590"",""T12.2025!D4:G46""),4,0)"),"")</f>
        <v/>
      </c>
      <c r="R29" s="25"/>
      <c r="S29" s="35"/>
      <c r="T29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29" s="43" t="str">
        <f t="shared" ref="U29:U52" si="6">INDEX(C$37:C$40, MATCH(K29, D$37:D$40, 0))</f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9" s="35"/>
      <c r="W29" s="13"/>
      <c r="X29" s="37"/>
      <c r="Y29" s="38" t="str">
        <f t="shared" si="5"/>
        <v>30/12/1899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IFERROR(__xludf.DUMMYFUNCTION("(VLOOKUP(J30,IMPORTRANGE(""https://docs.google.com/spreadsheets/d/1QfInhV6_YXjbJgeCXJ370Rz4ercnFoTR58xB4rzVAmY/edit?gid=1021743590#gid=1021743590"",""T12.2025!D4:I46""),6,0) &amp;"", ""&amp; TEXT(VLOOKUP(J30,IMPORTRANGE(""https://docs.google.com/spreadsheets/d/1Q"&amp;"fInhV6_YXjbJgeCXJ370Rz4ercnFoTR58xB4rzVAmY/edit?gid=1021743590#gid=1021743590"",""T12.2025!D4:I46""),5,0),""D/M/YYYY""))"),"16h00, 23/12/2025")</f>
        <v>16h00, 23/12/2025</v>
      </c>
      <c r="Q30" s="33" t="str">
        <f>IFERROR(__xludf.DUMMYFUNCTION("VLOOKUP(J30,IMPORTRANGE(""https://docs.google.com/spreadsheets/d/1QfInhV6_YXjbJgeCXJ370Rz4ercnFoTR58xB4rzVAmY/edit?gid=1021743590#gid=1021743590"",""T12.2025!D4:G46""),4,0)"),"Online")</f>
        <v>Online</v>
      </c>
      <c r="R30" s="25"/>
      <c r="S30" s="45" t="s">
        <v>214</v>
      </c>
      <c r="T30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30" s="43" t="str">
        <f t="shared" si="6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0" s="35"/>
      <c r="W30" s="13"/>
      <c r="X30" s="47" t="s">
        <v>130</v>
      </c>
      <c r="Y30" s="38" t="str">
        <f t="shared" si="5"/>
        <v>23/12/2025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IFERROR(__xludf.DUMMYFUNCTION("(VLOOKUP(J31,IMPORTRANGE(""https://docs.google.com/spreadsheets/d/1QfInhV6_YXjbJgeCXJ370Rz4ercnFoTR58xB4rzVAmY/edit?gid=1021743590#gid=1021743590"",""T12.2025!D4:I46""),6,0) &amp;"", ""&amp; TEXT(VLOOKUP(J31,IMPORTRANGE(""https://docs.google.com/spreadsheets/d/1Q"&amp;"fInhV6_YXjbJgeCXJ370Rz4ercnFoTR58xB4rzVAmY/edit?gid=1021743590#gid=1021743590"",""T12.2025!D4:I46""),5,0),""D/M/YYYY""))"),"#N/A")</f>
        <v>#N/A</v>
      </c>
      <c r="Q31" s="33" t="str">
        <f>IFERROR(__xludf.DUMMYFUNCTION("VLOOKUP(J31,IMPORTRANGE(""https://docs.google.com/spreadsheets/d/1QfInhV6_YXjbJgeCXJ370Rz4ercnFoTR58xB4rzVAmY/edit?gid=1021743590#gid=1021743590"",""T12.2025!D4:G46""),4,0)"),"#N/A")</f>
        <v>#N/A</v>
      </c>
      <c r="R31" s="25"/>
      <c r="S31" s="35"/>
      <c r="T31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
- Triển khai SV K20 thực tập DN</v>
      </c>
      <c r="U31" s="43" t="str">
        <f t="shared" si="6"/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1" s="35"/>
      <c r="W31" s="13"/>
      <c r="X31" s="37"/>
      <c r="Y31" s="38" t="str">
        <f t="shared" si="5"/>
        <v>#N/A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IFERROR(__xludf.DUMMYFUNCTION("(VLOOKUP(J32,IMPORTRANGE(""https://docs.google.com/spreadsheets/d/1QfInhV6_YXjbJgeCXJ370Rz4ercnFoTR58xB4rzVAmY/edit?gid=1021743590#gid=1021743590"",""T12.2025!D4:I46""),6,0) &amp;"", ""&amp; TEXT(VLOOKUP(J32,IMPORTRANGE(""https://docs.google.com/spreadsheets/d/1Q"&amp;"fInhV6_YXjbJgeCXJ370Rz4ercnFoTR58xB4rzVAmY/edit?gid=1021743590#gid=1021743590"",""T12.2025!D4:I46""),5,0),""D/M/YYYY""))"),", 30/12/1899")</f>
        <v>, 30/12/1899</v>
      </c>
      <c r="Q32" s="33" t="str">
        <f>IFERROR(__xludf.DUMMYFUNCTION("VLOOKUP(J32,IMPORTRANGE(""https://docs.google.com/spreadsheets/d/1QfInhV6_YXjbJgeCXJ370Rz4ercnFoTR58xB4rzVAmY/edit?gid=1021743590#gid=1021743590"",""T12.2025!D4:G46""),4,0)"),"")</f>
        <v/>
      </c>
      <c r="R32" s="25"/>
      <c r="S32" s="35"/>
      <c r="T32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2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2" s="35"/>
      <c r="W32" s="13"/>
      <c r="X32" s="37"/>
      <c r="Y32" s="38" t="str">
        <f t="shared" si="5"/>
        <v>30/12/1899</v>
      </c>
      <c r="Z32" s="3"/>
      <c r="AA32" s="3"/>
      <c r="AB32" s="3"/>
    </row>
    <row r="33">
      <c r="A33" s="65"/>
      <c r="B33" s="39"/>
      <c r="C33" s="23" t="s">
        <v>138</v>
      </c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IFERROR(__xludf.DUMMYFUNCTION("(VLOOKUP(J33,IMPORTRANGE(""https://docs.google.com/spreadsheets/d/1QfInhV6_YXjbJgeCXJ370Rz4ercnFoTR58xB4rzVAmY/edit?gid=1021743590#gid=1021743590"",""T12.2025!D4:I46""),6,0) &amp;"", ""&amp; TEXT(VLOOKUP(J33,IMPORTRANGE(""https://docs.google.com/spreadsheets/d/1Q"&amp;"fInhV6_YXjbJgeCXJ370Rz4ercnFoTR58xB4rzVAmY/edit?gid=1021743590#gid=1021743590"",""T12.2025!D4:I46""),5,0),""D/M/YYYY""))"),", 30/12/1899")</f>
        <v>, 30/12/1899</v>
      </c>
      <c r="Q33" s="33" t="str">
        <f>IFERROR(__xludf.DUMMYFUNCTION("VLOOKUP(J33,IMPORTRANGE(""https://docs.google.com/spreadsheets/d/1QfInhV6_YXjbJgeCXJ370Rz4ercnFoTR58xB4rzVAmY/edit?gid=1021743590#gid=1021743590"",""T12.2025!D4:G46""),4,0)"),"")</f>
        <v/>
      </c>
      <c r="R33" s="25"/>
      <c r="S33" s="35"/>
      <c r="T33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3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3" s="35"/>
      <c r="W33" s="13"/>
      <c r="X33" s="37"/>
      <c r="Y33" s="38" t="str">
        <f t="shared" si="5"/>
        <v>30/12/1899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IFERROR(__xludf.DUMMYFUNCTION("(VLOOKUP(J34,IMPORTRANGE(""https://docs.google.com/spreadsheets/d/1QfInhV6_YXjbJgeCXJ370Rz4ercnFoTR58xB4rzVAmY/edit?gid=1021743590#gid=1021743590"",""T12.2025!D4:I46""),6,0) &amp;"", ""&amp; TEXT(VLOOKUP(J34,IMPORTRANGE(""https://docs.google.com/spreadsheets/d/1Q"&amp;"fInhV6_YXjbJgeCXJ370Rz4ercnFoTR58xB4rzVAmY/edit?gid=1021743590#gid=1021743590"",""T12.2025!D4:I46""),5,0),""D/M/YYYY""))"),", 30/12/1899")</f>
        <v>, 30/12/1899</v>
      </c>
      <c r="Q34" s="33" t="str">
        <f>IFERROR(__xludf.DUMMYFUNCTION("VLOOKUP(J34,IMPORTRANGE(""https://docs.google.com/spreadsheets/d/1QfInhV6_YXjbJgeCXJ370Rz4ercnFoTR58xB4rzVAmY/edit?gid=1021743590#gid=1021743590"",""T12.2025!D4:G46""),4,0)"),"")</f>
        <v/>
      </c>
      <c r="R34" s="25"/>
      <c r="S34" s="35"/>
      <c r="T34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4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4" s="35"/>
      <c r="W34" s="13"/>
      <c r="X34" s="37"/>
      <c r="Y34" s="38" t="str">
        <f t="shared" si="5"/>
        <v>30/12/1899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IFERROR(__xludf.DUMMYFUNCTION("(VLOOKUP(J35,IMPORTRANGE(""https://docs.google.com/spreadsheets/d/1QfInhV6_YXjbJgeCXJ370Rz4ercnFoTR58xB4rzVAmY/edit?gid=1021743590#gid=1021743590"",""T12.2025!D4:I46""),6,0) &amp;"", ""&amp; TEXT(VLOOKUP(J35,IMPORTRANGE(""https://docs.google.com/spreadsheets/d/1Q"&amp;"fInhV6_YXjbJgeCXJ370Rz4ercnFoTR58xB4rzVAmY/edit?gid=1021743590#gid=1021743590"",""T12.2025!D4:I46""),5,0),""D/M/YYYY""))"),"10h00, 30/12/2025")</f>
        <v>10h00, 30/12/2025</v>
      </c>
      <c r="Q35" s="33" t="str">
        <f>IFERROR(__xludf.DUMMYFUNCTION("VLOOKUP(J35,IMPORTRANGE(""https://docs.google.com/spreadsheets/d/1QfInhV6_YXjbJgeCXJ370Rz4ercnFoTR58xB4rzVAmY/edit?gid=1021743590#gid=1021743590"",""T12.2025!D4:G46""),4,0)"),"ĐH302")</f>
        <v>ĐH302</v>
      </c>
      <c r="R35" s="25"/>
      <c r="S35" s="35"/>
      <c r="T35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5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5" s="35"/>
      <c r="W35" s="13"/>
      <c r="X35" s="37"/>
      <c r="Y35" s="38" t="str">
        <f t="shared" si="5"/>
        <v>30/12/2025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IFERROR(__xludf.DUMMYFUNCTION("(VLOOKUP(J36,IMPORTRANGE(""https://docs.google.com/spreadsheets/d/1QfInhV6_YXjbJgeCXJ370Rz4ercnFoTR58xB4rzVAmY/edit?gid=1021743590#gid=1021743590"",""T12.2025!D4:I46""),6,0) &amp;"", ""&amp; TEXT(VLOOKUP(J36,IMPORTRANGE(""https://docs.google.com/spreadsheets/d/1Q"&amp;"fInhV6_YXjbJgeCXJ370Rz4ercnFoTR58xB4rzVAmY/edit?gid=1021743590#gid=1021743590"",""T12.2025!D4:I46""),5,0),""D/M/YYYY""))"),", 30/12/1899")</f>
        <v>, 30/12/1899</v>
      </c>
      <c r="Q36" s="33" t="str">
        <f>IFERROR(__xludf.DUMMYFUNCTION("VLOOKUP(J36,IMPORTRANGE(""https://docs.google.com/spreadsheets/d/1QfInhV6_YXjbJgeCXJ370Rz4ercnFoTR58xB4rzVAmY/edit?gid=1021743590#gid=1021743590"",""T12.2025!D4:G46""),4,0)"),"")</f>
        <v/>
      </c>
      <c r="R36" s="25"/>
      <c r="S36" s="35"/>
      <c r="T36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6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6" s="35"/>
      <c r="W36" s="13"/>
      <c r="X36" s="37"/>
      <c r="Y36" s="38" t="str">
        <f t="shared" si="5"/>
        <v>30/12/1899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các hoạt động cho HK2 năm học 25-26
- 
- Các nhóm SV NCKH thực hiện theo tiến độ
- GVCN đôn đốc, nhắc nhở và liên hệ về gia đình SV nghỉ nhiều, nợ nhiều học phần
- ")</f>
        <v>- Triển khai các hoạt động cho HK2 năm học 25-26
- 
- Các nhóm SV NCKH thực hiện theo tiến độ
- GVCN đôn đốc, nhắc nhở và liên hệ về gia đình SV nghỉ nhiều, nợ nhiều học phần
- </v>
      </c>
      <c r="D37" s="24" t="s">
        <v>35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IFERROR(__xludf.DUMMYFUNCTION("(VLOOKUP(J37,IMPORTRANGE(""https://docs.google.com/spreadsheets/d/1QfInhV6_YXjbJgeCXJ370Rz4ercnFoTR58xB4rzVAmY/edit?gid=1021743590#gid=1021743590"",""T12.2025!D4:I46""),6,0) &amp;"", ""&amp; TEXT(VLOOKUP(J37,IMPORTRANGE(""https://docs.google.com/spreadsheets/d/1Q"&amp;"fInhV6_YXjbJgeCXJ370Rz4ercnFoTR58xB4rzVAmY/edit?gid=1021743590#gid=1021743590"",""T12.2025!D4:I46""),5,0),""D/M/YYYY""))"),"8h05, 24/12/2025")</f>
        <v>8h05, 24/12/2025</v>
      </c>
      <c r="Q37" s="33" t="str">
        <f>IFERROR(__xludf.DUMMYFUNCTION("VLOOKUP(J37,IMPORTRANGE(""https://docs.google.com/spreadsheets/d/1QfInhV6_YXjbJgeCXJ370Rz4ercnFoTR58xB4rzVAmY/edit?gid=1021743590#gid=1021743590"",""T12.2025!D4:G46""),4,0)"),"2DH505")</f>
        <v>2DH505</v>
      </c>
      <c r="R37" s="25"/>
      <c r="S37" s="45"/>
      <c r="T37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7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7" s="45" t="s">
        <v>150</v>
      </c>
      <c r="W37" s="70" t="s">
        <v>150</v>
      </c>
      <c r="X37" s="47" t="s">
        <v>151</v>
      </c>
      <c r="Y37" s="38" t="str">
        <f t="shared" si="5"/>
        <v>24/12/2025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")</f>
        <v>- Triển khai các hoạt động cho HK2 năm học 25-26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IFERROR(__xludf.DUMMYFUNCTION("(VLOOKUP(J38,IMPORTRANGE(""https://docs.google.com/spreadsheets/d/1QfInhV6_YXjbJgeCXJ370Rz4ercnFoTR58xB4rzVAmY/edit?gid=1021743590#gid=1021743590"",""T12.2025!D4:I46""),6,0) &amp;"", ""&amp; TEXT(VLOOKUP(J38,IMPORTRANGE(""https://docs.google.com/spreadsheets/d/1Q"&amp;"fInhV6_YXjbJgeCXJ370Rz4ercnFoTR58xB4rzVAmY/edit?gid=1021743590#gid=1021743590"",""T12.2025!D4:I46""),5,0),""D/M/YYYY""))"),"8h05, 26/12/2025")</f>
        <v>8h05, 26/12/2025</v>
      </c>
      <c r="Q38" s="33" t="str">
        <f>IFERROR(__xludf.DUMMYFUNCTION("VLOOKUP(J38,IMPORTRANGE(""https://docs.google.com/spreadsheets/d/1QfInhV6_YXjbJgeCXJ370Rz4ercnFoTR58xB4rzVAmY/edit?gid=1021743590#gid=1021743590"",""T12.2025!D4:G46""),4,0)"),"2DH311")</f>
        <v>2DH311</v>
      </c>
      <c r="R38" s="25"/>
      <c r="S38" s="45"/>
      <c r="T38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8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8" s="45" t="s">
        <v>150</v>
      </c>
      <c r="W38" s="70" t="s">
        <v>150</v>
      </c>
      <c r="X38" s="47" t="s">
        <v>151</v>
      </c>
      <c r="Y38" s="38" t="str">
        <f t="shared" si="5"/>
        <v>26/12/2025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các hoạt động cho HK2 năm học 25-26
- 
- Các nhóm SV NCKH thực hiện theo tiến độ
- GVCN đôn đốc, nhắc nhở và liên hệ về gia đình SV nghỉ nhiều, nợ nhiều học phần
- ")</f>
        <v>- Triển khai các hoạt động cho HK2 năm học 25-26
- 
- Các nhóm SV NCKH thực hiện theo tiến độ
- GVCN đôn đốc, nhắc nhở và liên hệ về gia đình SV nghỉ nhiều, nợ nhiều học phần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IFERROR(__xludf.DUMMYFUNCTION("(VLOOKUP(J39,IMPORTRANGE(""https://docs.google.com/spreadsheets/d/1QfInhV6_YXjbJgeCXJ370Rz4ercnFoTR58xB4rzVAmY/edit?gid=1021743590#gid=1021743590"",""T12.2025!D4:I46""),6,0) &amp;"", ""&amp; TEXT(VLOOKUP(J39,IMPORTRANGE(""https://docs.google.com/spreadsheets/d/1Q"&amp;"fInhV6_YXjbJgeCXJ370Rz4ercnFoTR58xB4rzVAmY/edit?gid=1021743590#gid=1021743590"",""T12.2025!D4:I46""),5,0),""D/M/YYYY""))"),"15h25, 16/12/2025")</f>
        <v>15h25, 16/12/2025</v>
      </c>
      <c r="Q39" s="33" t="str">
        <f>IFERROR(__xludf.DUMMYFUNCTION("VLOOKUP(J39,IMPORTRANGE(""https://docs.google.com/spreadsheets/d/1QfInhV6_YXjbJgeCXJ370Rz4ercnFoTR58xB4rzVAmY/edit?gid=1021743590#gid=1021743590"",""T12.2025!D4:G46""),4,0)"),"HD601A")</f>
        <v>HD601A</v>
      </c>
      <c r="R39" s="25"/>
      <c r="S39" s="35"/>
      <c r="T39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39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39" s="45" t="s">
        <v>150</v>
      </c>
      <c r="W39" s="70" t="s">
        <v>150</v>
      </c>
      <c r="X39" s="47" t="s">
        <v>156</v>
      </c>
      <c r="Y39" s="38" t="str">
        <f t="shared" si="5"/>
        <v>16/12/2025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các hoạt động cho HK2 năm học 25-26
- 
- Các nhóm SV NCKH thực hiện theo tiến độ
- GVCN đôn đốc, nhắc nhở và liên hệ về gia đình SV nghỉ nhiều, nợ nhiều học phần
- ")</f>
        <v>- Triển khai các hoạt động cho HK2 năm học 25-26
- 
- Các nhóm SV NCKH thực hiện theo tiến độ
- GVCN đôn đốc, nhắc nhở và liên hệ về gia đình SV nghỉ nhiều, nợ nhiều học phần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IFERROR(__xludf.DUMMYFUNCTION("(VLOOKUP(J40,IMPORTRANGE(""https://docs.google.com/spreadsheets/d/1QfInhV6_YXjbJgeCXJ370Rz4ercnFoTR58xB4rzVAmY/edit?gid=1021743590#gid=1021743590"",""T12.2025!D4:I46""),6,0) &amp;"", ""&amp; TEXT(VLOOKUP(J40,IMPORTRANGE(""https://docs.google.com/spreadsheets/d/1Q"&amp;"fInhV6_YXjbJgeCXJ370Rz4ercnFoTR58xB4rzVAmY/edit?gid=1021743590#gid=1021743590"",""T12.2025!D4:I46""),5,0),""D/M/YYYY""))"),"16h25, 24/12/2025")</f>
        <v>16h25, 24/12/2025</v>
      </c>
      <c r="Q40" s="33" t="str">
        <f>IFERROR(__xludf.DUMMYFUNCTION("VLOOKUP(J40,IMPORTRANGE(""https://docs.google.com/spreadsheets/d/1QfInhV6_YXjbJgeCXJ370Rz4ercnFoTR58xB4rzVAmY/edit?gid=1021743590#gid=1021743590"",""T12.2025!D4:G46""),4,0)"),"2DH506")</f>
        <v>2DH506</v>
      </c>
      <c r="R40" s="25"/>
      <c r="S40" s="45"/>
      <c r="T40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0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0" s="45" t="s">
        <v>150</v>
      </c>
      <c r="W40" s="70" t="s">
        <v>150</v>
      </c>
      <c r="X40" s="47" t="s">
        <v>151</v>
      </c>
      <c r="Y40" s="38" t="str">
        <f t="shared" si="5"/>
        <v>24/12/2025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IFERROR(__xludf.DUMMYFUNCTION("(VLOOKUP(J41,IMPORTRANGE(""https://docs.google.com/spreadsheets/d/1QfInhV6_YXjbJgeCXJ370Rz4ercnFoTR58xB4rzVAmY/edit?gid=1021743590#gid=1021743590"",""T12.2025!D4:I46""),6,0) &amp;"", ""&amp; TEXT(VLOOKUP(J41,IMPORTRANGE(""https://docs.google.com/spreadsheets/d/1Q"&amp;"fInhV6_YXjbJgeCXJ370Rz4ercnFoTR58xB4rzVAmY/edit?gid=1021743590#gid=1021743590"",""T12.2025!D4:I46""),5,0),""D/M/YYYY""))"),"11h00, 23/12/2025")</f>
        <v>11h00, 23/12/2025</v>
      </c>
      <c r="Q41" s="33" t="str">
        <f>IFERROR(__xludf.DUMMYFUNCTION("VLOOKUP(J41,IMPORTRANGE(""https://docs.google.com/spreadsheets/d/1QfInhV6_YXjbJgeCXJ370Rz4ercnFoTR58xB4rzVAmY/edit?gid=1021743590#gid=1021743590"",""T12.2025!D4:G46""),4,0)"),"ĐH205")</f>
        <v>ĐH205</v>
      </c>
      <c r="R41" s="25"/>
      <c r="S41" s="45" t="s">
        <v>215</v>
      </c>
      <c r="T41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1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1" s="35"/>
      <c r="W41" s="13"/>
      <c r="X41" s="47" t="s">
        <v>130</v>
      </c>
      <c r="Y41" s="38" t="str">
        <f t="shared" si="5"/>
        <v>23/12/2025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9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IFERROR(__xludf.DUMMYFUNCTION("(VLOOKUP(J42,IMPORTRANGE(""https://docs.google.com/spreadsheets/d/1QfInhV6_YXjbJgeCXJ370Rz4ercnFoTR58xB4rzVAmY/edit?gid=1021743590#gid=1021743590"",""T12.2025!D4:I46""),6,0) &amp;"", ""&amp; TEXT(VLOOKUP(J42,IMPORTRANGE(""https://docs.google.com/spreadsheets/d/1Q"&amp;"fInhV6_YXjbJgeCXJ370Rz4ercnFoTR58xB4rzVAmY/edit?gid=1021743590#gid=1021743590"",""T12.2025!D4:I46""),5,0),""D/M/YYYY""))"),"#N/A")</f>
        <v>#N/A</v>
      </c>
      <c r="Q42" s="33" t="str">
        <f>IFERROR(__xludf.DUMMYFUNCTION("VLOOKUP(J42,IMPORTRANGE(""https://docs.google.com/spreadsheets/d/1QfInhV6_YXjbJgeCXJ370Rz4ercnFoTR58xB4rzVAmY/edit?gid=1021743590#gid=1021743590"",""T12.2025!D4:G46""),4,0)"),"#N/A")</f>
        <v>#N/A</v>
      </c>
      <c r="R42" s="25"/>
      <c r="S42" s="35"/>
      <c r="T42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2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2" s="35"/>
      <c r="W42" s="13"/>
      <c r="X42" s="37"/>
      <c r="Y42" s="38" t="str">
        <f t="shared" si="5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IFERROR(__xludf.DUMMYFUNCTION("(VLOOKUP(J43,IMPORTRANGE(""https://docs.google.com/spreadsheets/d/1QfInhV6_YXjbJgeCXJ370Rz4ercnFoTR58xB4rzVAmY/edit?gid=1021743590#gid=1021743590"",""T12.2025!D4:I46""),6,0) &amp;"", ""&amp; TEXT(VLOOKUP(J43,IMPORTRANGE(""https://docs.google.com/spreadsheets/d/1Q"&amp;"fInhV6_YXjbJgeCXJ370Rz4ercnFoTR58xB4rzVAmY/edit?gid=1021743590#gid=1021743590"",""T12.2025!D4:I46""),5,0),""D/M/YYYY""))"),"11h00, 31/12/2025")</f>
        <v>11h00, 31/12/2025</v>
      </c>
      <c r="Q43" s="33" t="str">
        <f>IFERROR(__xludf.DUMMYFUNCTION("VLOOKUP(J43,IMPORTRANGE(""https://docs.google.com/spreadsheets/d/1QfInhV6_YXjbJgeCXJ370Rz4ercnFoTR58xB4rzVAmY/edit?gid=1021743590#gid=1021743590"",""T12.2025!D4:G46""),4,0)"),"ĐH304")</f>
        <v>ĐH304</v>
      </c>
      <c r="R43" s="25"/>
      <c r="S43" s="35"/>
      <c r="T43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3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3" s="35"/>
      <c r="W43" s="13"/>
      <c r="X43" s="37"/>
      <c r="Y43" s="38" t="str">
        <f t="shared" si="5"/>
        <v>31/12/2025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IFERROR(__xludf.DUMMYFUNCTION("(VLOOKUP(J44,IMPORTRANGE(""https://docs.google.com/spreadsheets/d/1QfInhV6_YXjbJgeCXJ370Rz4ercnFoTR58xB4rzVAmY/edit?gid=1021743590#gid=1021743590"",""T12.2025!D4:I46""),6,0) &amp;"", ""&amp; TEXT(VLOOKUP(J44,IMPORTRANGE(""https://docs.google.com/spreadsheets/d/1Q"&amp;"fInhV6_YXjbJgeCXJ370Rz4ercnFoTR58xB4rzVAmY/edit?gid=1021743590#gid=1021743590"",""T12.2025!D4:I46""),5,0),""D/M/YYYY""))"),"11h00, 25/12/2025")</f>
        <v>11h00, 25/12/2025</v>
      </c>
      <c r="Q44" s="33" t="str">
        <f>IFERROR(__xludf.DUMMYFUNCTION("VLOOKUP(J44,IMPORTRANGE(""https://docs.google.com/spreadsheets/d/1QfInhV6_YXjbJgeCXJ370Rz4ercnFoTR58xB4rzVAmY/edit?gid=1021743590#gid=1021743590"",""T12.2025!D4:G46""),4,0)"),"ĐH219A")</f>
        <v>ĐH219A</v>
      </c>
      <c r="R44" s="25"/>
      <c r="S44" s="35"/>
      <c r="T44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4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4" s="35"/>
      <c r="W44" s="13"/>
      <c r="X44" s="37"/>
      <c r="Y44" s="38" t="str">
        <f t="shared" si="5"/>
        <v>25/12/2025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IFERROR(__xludf.DUMMYFUNCTION("(VLOOKUP(J45,IMPORTRANGE(""https://docs.google.com/spreadsheets/d/1QfInhV6_YXjbJgeCXJ370Rz4ercnFoTR58xB4rzVAmY/edit?gid=1021743590#gid=1021743590"",""T12.2025!D4:I46""),6,0) &amp;"", ""&amp; TEXT(VLOOKUP(J45,IMPORTRANGE(""https://docs.google.com/spreadsheets/d/1Q"&amp;"fInhV6_YXjbJgeCXJ370Rz4ercnFoTR58xB4rzVAmY/edit?gid=1021743590#gid=1021743590"",""T12.2025!D4:I46""),5,0),""D/M/YYYY""))"),"#N/A")</f>
        <v>#N/A</v>
      </c>
      <c r="Q45" s="33" t="str">
        <f>IFERROR(__xludf.DUMMYFUNCTION("VLOOKUP(J45,IMPORTRANGE(""https://docs.google.com/spreadsheets/d/1QfInhV6_YXjbJgeCXJ370Rz4ercnFoTR58xB4rzVAmY/edit?gid=1021743590#gid=1021743590"",""T12.2025!D4:G46""),4,0)"),"#N/A")</f>
        <v>#N/A</v>
      </c>
      <c r="R45" s="25"/>
      <c r="S45" s="35"/>
      <c r="T45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5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5" s="35"/>
      <c r="W45" s="13"/>
      <c r="X45" s="37"/>
      <c r="Y45" s="38" t="str">
        <f t="shared" si="5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IFERROR(__xludf.DUMMYFUNCTION("(VLOOKUP(J46,IMPORTRANGE(""https://docs.google.com/spreadsheets/d/1QfInhV6_YXjbJgeCXJ370Rz4ercnFoTR58xB4rzVAmY/edit?gid=1021743590#gid=1021743590"",""T12.2025!D4:I46""),6,0) &amp;"", ""&amp; TEXT(VLOOKUP(J46,IMPORTRANGE(""https://docs.google.com/spreadsheets/d/1Q"&amp;"fInhV6_YXjbJgeCXJ370Rz4ercnFoTR58xB4rzVAmY/edit?gid=1021743590#gid=1021743590"",""T12.2025!D4:I46""),5,0),""D/M/YYYY""))"),"#N/A")</f>
        <v>#N/A</v>
      </c>
      <c r="Q46" s="33" t="str">
        <f>IFERROR(__xludf.DUMMYFUNCTION("VLOOKUP(J46,IMPORTRANGE(""https://docs.google.com/spreadsheets/d/1QfInhV6_YXjbJgeCXJ370Rz4ercnFoTR58xB4rzVAmY/edit?gid=1021743590#gid=1021743590"",""T12.2025!D4:G46""),4,0)"),"#N/A")</f>
        <v>#N/A</v>
      </c>
      <c r="R46" s="25"/>
      <c r="S46" s="35"/>
      <c r="T46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6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6" s="35"/>
      <c r="W46" s="13"/>
      <c r="X46" s="37"/>
      <c r="Y46" s="38" t="str">
        <f t="shared" si="5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IFERROR(__xludf.DUMMYFUNCTION("(VLOOKUP(J47,IMPORTRANGE(""https://docs.google.com/spreadsheets/d/1QfInhV6_YXjbJgeCXJ370Rz4ercnFoTR58xB4rzVAmY/edit?gid=1021743590#gid=1021743590"",""T12.2025!D4:I46""),6,0) &amp;"", ""&amp; TEXT(VLOOKUP(J47,IMPORTRANGE(""https://docs.google.com/spreadsheets/d/1Q"&amp;"fInhV6_YXjbJgeCXJ370Rz4ercnFoTR58xB4rzVAmY/edit?gid=1021743590#gid=1021743590"",""T12.2025!D4:I46""),5,0),""D/M/YYYY""))"),"11h, 1/12/2025")</f>
        <v>11h, 1/12/2025</v>
      </c>
      <c r="Q47" s="33" t="str">
        <f>IFERROR(__xludf.DUMMYFUNCTION("VLOOKUP(J47,IMPORTRANGE(""https://docs.google.com/spreadsheets/d/1QfInhV6_YXjbJgeCXJ370Rz4ercnFoTR58xB4rzVAmY/edit?gid=1021743590#gid=1021743590"",""T12.2025!D4:G46""),4,0)"),"ĐH127")</f>
        <v>ĐH127</v>
      </c>
      <c r="R47" s="25"/>
      <c r="S47" s="45" t="s">
        <v>178</v>
      </c>
      <c r="T47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7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7" s="45" t="s">
        <v>179</v>
      </c>
      <c r="W47" s="26" t="s">
        <v>180</v>
      </c>
      <c r="X47" s="37"/>
      <c r="Y47" s="38" t="str">
        <f t="shared" si="5"/>
        <v>1/12/2025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IFERROR(__xludf.DUMMYFUNCTION("(VLOOKUP(J48,IMPORTRANGE(""https://docs.google.com/spreadsheets/d/1QfInhV6_YXjbJgeCXJ370Rz4ercnFoTR58xB4rzVAmY/edit?gid=1021743590#gid=1021743590"",""T12.2025!D4:I46""),6,0) &amp;"", ""&amp; TEXT(VLOOKUP(J48,IMPORTRANGE(""https://docs.google.com/spreadsheets/d/1Q"&amp;"fInhV6_YXjbJgeCXJ370Rz4ercnFoTR58xB4rzVAmY/edit?gid=1021743590#gid=1021743590"",""T12.2025!D4:I46""),5,0),""D/M/YYYY""))"),"11h30, 1/12/2025")</f>
        <v>11h30, 1/12/2025</v>
      </c>
      <c r="Q48" s="33" t="str">
        <f>IFERROR(__xludf.DUMMYFUNCTION("VLOOKUP(J48,IMPORTRANGE(""https://docs.google.com/spreadsheets/d/1QfInhV6_YXjbJgeCXJ370Rz4ercnFoTR58xB4rzVAmY/edit?gid=1021743590#gid=1021743590"",""T12.2025!D4:G46""),4,0)"),"ĐH127")</f>
        <v>ĐH127</v>
      </c>
      <c r="R48" s="25"/>
      <c r="S48" s="45" t="s">
        <v>178</v>
      </c>
      <c r="T48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8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8" s="45" t="s">
        <v>179</v>
      </c>
      <c r="W48" s="26" t="s">
        <v>180</v>
      </c>
      <c r="X48" s="37"/>
      <c r="Y48" s="38" t="str">
        <f t="shared" si="5"/>
        <v>1/12/2025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IFERROR(__xludf.DUMMYFUNCTION("(VLOOKUP(J49,IMPORTRANGE(""https://docs.google.com/spreadsheets/d/1QfInhV6_YXjbJgeCXJ370Rz4ercnFoTR58xB4rzVAmY/edit?gid=1021743590#gid=1021743590"",""T12.2025!D4:I46""),6,0) &amp;"", ""&amp; TEXT(VLOOKUP(J49,IMPORTRANGE(""https://docs.google.com/spreadsheets/d/1Q"&amp;"fInhV6_YXjbJgeCXJ370Rz4ercnFoTR58xB4rzVAmY/edit?gid=1021743590#gid=1021743590"",""T12.2025!D4:I46""),5,0),""D/M/YYYY""))"),"11h, 3/12/2025")</f>
        <v>11h, 3/12/2025</v>
      </c>
      <c r="Q49" s="33" t="str">
        <f>IFERROR(__xludf.DUMMYFUNCTION("VLOOKUP(J49,IMPORTRANGE(""https://docs.google.com/spreadsheets/d/1QfInhV6_YXjbJgeCXJ370Rz4ercnFoTR58xB4rzVAmY/edit?gid=1021743590#gid=1021743590"",""T12.2025!D4:G46""),4,0)"),"ĐH127")</f>
        <v>ĐH127</v>
      </c>
      <c r="R49" s="25"/>
      <c r="S49" s="45" t="s">
        <v>178</v>
      </c>
      <c r="T49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49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49" s="45" t="s">
        <v>179</v>
      </c>
      <c r="W49" s="26" t="s">
        <v>180</v>
      </c>
      <c r="X49" s="37"/>
      <c r="Y49" s="38" t="str">
        <f t="shared" si="5"/>
        <v>3/12/2025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IFERROR(__xludf.DUMMYFUNCTION("(VLOOKUP(J50,IMPORTRANGE(""https://docs.google.com/spreadsheets/d/1QfInhV6_YXjbJgeCXJ370Rz4ercnFoTR58xB4rzVAmY/edit?gid=1021743590#gid=1021743590"",""T12.2025!D4:I46""),6,0) &amp;"", ""&amp; TEXT(VLOOKUP(J50,IMPORTRANGE(""https://docs.google.com/spreadsheets/d/1Q"&amp;"fInhV6_YXjbJgeCXJ370Rz4ercnFoTR58xB4rzVAmY/edit?gid=1021743590#gid=1021743590"",""T12.2025!D4:I46""),5,0),""D/M/YYYY""))"),", 30/12/1899")</f>
        <v>, 30/12/1899</v>
      </c>
      <c r="Q50" s="33" t="str">
        <f>IFERROR(__xludf.DUMMYFUNCTION("VLOOKUP(J50,IMPORTRANGE(""https://docs.google.com/spreadsheets/d/1QfInhV6_YXjbJgeCXJ370Rz4ercnFoTR58xB4rzVAmY/edit?gid=1021743590#gid=1021743590"",""T12.2025!D4:G46""),4,0)"),"")</f>
        <v/>
      </c>
      <c r="R50" s="25"/>
      <c r="S50" s="45" t="s">
        <v>178</v>
      </c>
      <c r="T50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50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50" s="45" t="s">
        <v>179</v>
      </c>
      <c r="W50" s="70" t="s">
        <v>179</v>
      </c>
      <c r="X50" s="37"/>
      <c r="Y50" s="38" t="str">
        <f t="shared" si="5"/>
        <v>30/12/1899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IFERROR(__xludf.DUMMYFUNCTION("(VLOOKUP(J51,IMPORTRANGE(""https://docs.google.com/spreadsheets/d/1QfInhV6_YXjbJgeCXJ370Rz4ercnFoTR58xB4rzVAmY/edit?gid=1021743590#gid=1021743590"",""T12.2025!D4:I46""),6,0) &amp;"", ""&amp; TEXT(VLOOKUP(J51,IMPORTRANGE(""https://docs.google.com/spreadsheets/d/1Q"&amp;"fInhV6_YXjbJgeCXJ370Rz4ercnFoTR58xB4rzVAmY/edit?gid=1021743590#gid=1021743590"",""T12.2025!D4:I46""),5,0),""D/M/YYYY""))"),", 30/12/1899")</f>
        <v>, 30/12/1899</v>
      </c>
      <c r="Q51" s="33" t="str">
        <f>IFERROR(__xludf.DUMMYFUNCTION("VLOOKUP(J51,IMPORTRANGE(""https://docs.google.com/spreadsheets/d/1QfInhV6_YXjbJgeCXJ370Rz4ercnFoTR58xB4rzVAmY/edit?gid=1021743590#gid=1021743590"",""T12.2025!D4:G46""),4,0)"),"")</f>
        <v/>
      </c>
      <c r="R51" s="25"/>
      <c r="S51" s="45" t="s">
        <v>178</v>
      </c>
      <c r="T51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51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51" s="45" t="s">
        <v>179</v>
      </c>
      <c r="W51" s="26" t="s">
        <v>180</v>
      </c>
      <c r="X51" s="37"/>
      <c r="Y51" s="38" t="str">
        <f t="shared" si="5"/>
        <v>30/12/1899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IFERROR(__xludf.DUMMYFUNCTION("(VLOOKUP(J52,IMPORTRANGE(""https://docs.google.com/spreadsheets/d/1QfInhV6_YXjbJgeCXJ370Rz4ercnFoTR58xB4rzVAmY/edit?gid=1021743590#gid=1021743590"",""T12.2025!D4:I46""),6,0) &amp;"", ""&amp; TEXT(VLOOKUP(J52,IMPORTRANGE(""https://docs.google.com/spreadsheets/d/1Q"&amp;"fInhV6_YXjbJgeCXJ370Rz4ercnFoTR58xB4rzVAmY/edit?gid=1021743590#gid=1021743590"",""T12.2025!D4:I46""),5,0),""D/M/YYYY""))"),"17h00, 26/12/2025")</f>
        <v>17h00, 26/12/2025</v>
      </c>
      <c r="Q52" s="33" t="str">
        <f>IFERROR(__xludf.DUMMYFUNCTION("VLOOKUP(J52,IMPORTRANGE(""https://docs.google.com/spreadsheets/d/1QfInhV6_YXjbJgeCXJ370Rz4ercnFoTR58xB4rzVAmY/edit?gid=1021743590#gid=1021743590"",""T12.2025!D4:G46""),4,0)"),"ĐH206")</f>
        <v>ĐH206</v>
      </c>
      <c r="R52" s="25"/>
      <c r="S52" s="45" t="s">
        <v>216</v>
      </c>
      <c r="T52" s="35" t="str">
        <f t="shared" si="3"/>
        <v>- Thông báo cài đặt, đăng ký sử dụng BHYT trên VSSID
- TB về việc nộp tiền BHYT năm 2026
- TB Lịch nghỉ tết dương lịch
- TB lịch thi KTHP
- 
- Triển khai các nhóm SV Khởi nghiệp, NCKH</v>
      </c>
      <c r="U52" s="43" t="str">
        <f t="shared" si="6"/>
        <v>- Triển khai các hoạt động cho HK2 năm học 25-26
- 
- Các nhóm SV NCKH thực hiện theo tiến độ
- GVCN đôn đốc, nhắc nhở và liên hệ về gia đình SV nghỉ nhiều, nợ nhiều học phần
- </v>
      </c>
      <c r="V52" s="35"/>
      <c r="W52" s="13"/>
      <c r="X52" s="37"/>
      <c r="Y52" s="38" t="str">
        <f t="shared" si="5"/>
        <v>26/12/2025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 t="str">
        <f>IFERROR(__xludf.DUMMYFUNCTION("(VLOOKUP(J53,IMPORTRANGE(""https://docs.google.com/spreadsheets/d/1QfInhV6_YXjbJgeCXJ370Rz4ercnFoTR58xB4rzVAmY/edit?gid=1021743590#gid=1021743590"",""T12.2025!D4:I46""),6,0) &amp;"", ""&amp; TEXT(VLOOKUP(J53,IMPORTRANGE(""https://docs.google.com/spreadsheets/d/1Q"&amp;"fInhV6_YXjbJgeCXJ370Rz4ercnFoTR58xB4rzVAmY/edit?gid=1021743590#gid=1021743590"",""T12.2025!D4:I46""),5,0),""D/M/YYYY""))"),"#N/A")</f>
        <v>#N/A</v>
      </c>
      <c r="Q53" s="33" t="str">
        <f>IFERROR(__xludf.DUMMYFUNCTION("VLOOKUP(J53,IMPORTRANGE(""https://docs.google.com/spreadsheets/d/1QfInhV6_YXjbJgeCXJ370Rz4ercnFoTR58xB4rzVAmY/edit?gid=1021743590#gid=1021743590"",""T12.2025!D4:G46""),4,0)"),"#N/A")</f>
        <v>#N/A</v>
      </c>
      <c r="R53" s="25"/>
      <c r="S53" s="35"/>
      <c r="T53" s="35"/>
      <c r="U53" s="43"/>
      <c r="V53" s="35"/>
      <c r="W53" s="13"/>
      <c r="X53" s="37"/>
      <c r="Y53" s="38" t="str">
        <f t="shared" si="5"/>
        <v>#N/A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/>
      <c r="Q54" s="33"/>
      <c r="R54" s="25"/>
      <c r="S54" s="45"/>
      <c r="T54" s="35"/>
      <c r="U54" s="43"/>
      <c r="V54" s="35"/>
      <c r="W54" s="13"/>
      <c r="X54" s="37"/>
      <c r="Y54" s="38" t="str">
        <f t="shared" si="5"/>
        <v>#VALUE!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/>
      <c r="Q55" s="33"/>
      <c r="R55" s="25"/>
      <c r="S55" s="35"/>
      <c r="T55" s="35"/>
      <c r="U55" s="43"/>
      <c r="V55" s="35"/>
      <c r="W55" s="13"/>
      <c r="X55" s="37"/>
      <c r="Y55" s="38" t="str">
        <f t="shared" si="5"/>
        <v>#VALUE!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InputMessage="1" showErrorMessage="1" prompt="Click and enter a value from the list of items" sqref="D8:D19 D26:D36">
      <formula1>"ALL,K23,K20,K21,K22"</formula1>
    </dataValidation>
    <dataValidation type="list" allowBlank="1" showErrorMessage="1" sqref="G8">
      <formula1>"1232"</formula1>
    </dataValidation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</hyperlinks>
  <printOptions/>
  <pageMargins bottom="0.31496062992125984" footer="0.0" header="0.0" left="0.4330708661417323" right="0.1968503937007874" top="0.31496062992125984"/>
  <pageSetup paperSize="9" orientation="portrait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71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11.0</v>
      </c>
      <c r="E6" s="5">
        <v>2025.0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19" t="s">
        <v>20</v>
      </c>
      <c r="Q7" s="94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217</v>
      </c>
      <c r="D8" s="24" t="s">
        <v>35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IFERROR(__xludf.DUMMYFUNCTION("(VLOOKUP(J8,IMPORTRANGE(""https://docs.google.com/spreadsheets/d/1QfInhV6_YXjbJgeCXJ370Rz4ercnFoTR58xB4rzVAmY/edit?gid=1021743590#gid=1021743590"",""T11.2025!D4:I46""),6,0) &amp;"", ""&amp; TEXT(VLOOKUP(J8,IMPORTRANGE(""https://docs.google.com/spreadsheets/d/1QfI"&amp;"nhV6_YXjbJgeCXJ370Rz4ercnFoTR58xB4rzVAmY/edit?gid=1021743590#gid=1021743590"",""T11.2025!D4:I46""),5,0),""D/M/YYYY""))"),"#N/A")</f>
        <v>#N/A</v>
      </c>
      <c r="Q8" s="33" t="str">
        <f>IFERROR(__xludf.DUMMYFUNCTION("VLOOKUP(J8,IMPORTRANGE(""https://docs.google.com/spreadsheets/d/1QfInhV6_YXjbJgeCXJ370Rz4ercnFoTR58xB4rzVAmY/edit?gid=1021743590#gid=1021743590"",""T11.2025!D4:G46""),4,0)"),"#N/A")</f>
        <v>#N/A</v>
      </c>
      <c r="R8" s="30">
        <v>3.0</v>
      </c>
      <c r="S8" s="34"/>
      <c r="T8" s="35" t="str">
        <f t="shared" ref="T8:T10" si="1">INDEX(C$20:C$23, MATCH(K8, D$20:D$23, 0))</f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8" s="36" t="s">
        <v>218</v>
      </c>
      <c r="V8" s="35"/>
      <c r="W8" s="13"/>
      <c r="X8" s="37"/>
      <c r="Y8" s="38" t="str">
        <f t="shared" ref="Y8:Y19" si="2">TRIM(MID(P8, FIND(",", P8) + 1, LEN(P8)))</f>
        <v>#N/A</v>
      </c>
      <c r="Z8" s="3"/>
      <c r="AA8" s="3"/>
      <c r="AB8" s="3"/>
    </row>
    <row r="9">
      <c r="A9" s="1"/>
      <c r="B9" s="39"/>
      <c r="C9" s="23" t="s">
        <v>40</v>
      </c>
      <c r="D9" s="24" t="s">
        <v>31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IFERROR(__xludf.DUMMYFUNCTION("(VLOOKUP(J9,IMPORTRANGE(""https://docs.google.com/spreadsheets/d/1QfInhV6_YXjbJgeCXJ370Rz4ercnFoTR58xB4rzVAmY/edit?gid=1021743590#gid=1021743590"",""T11.2025!D4:I46""),6,0) &amp;"", ""&amp; TEXT(VLOOKUP(J9,IMPORTRANGE(""https://docs.google.com/spreadsheets/d/1QfI"&amp;"nhV6_YXjbJgeCXJ370Rz4ercnFoTR58xB4rzVAmY/edit?gid=1021743590#gid=1021743590"",""T11.2025!D4:I46""),5,0),""D/M/YYYY""))"),"#N/A")</f>
        <v>#N/A</v>
      </c>
      <c r="Q9" s="33" t="str">
        <f>IFERROR(__xludf.DUMMYFUNCTION("VLOOKUP(J9,IMPORTRANGE(""https://docs.google.com/spreadsheets/d/1QfInhV6_YXjbJgeCXJ370Rz4ercnFoTR58xB4rzVAmY/edit?gid=1021743590#gid=1021743590"",""T11.2025!D4:G46""),4,0)"),"#N/A")</f>
        <v>#N/A</v>
      </c>
      <c r="R9" s="25"/>
      <c r="S9" s="35"/>
      <c r="T9" s="35" t="str">
        <f t="shared" si="1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9" s="36" t="s">
        <v>219</v>
      </c>
      <c r="V9" s="35"/>
      <c r="W9" s="13"/>
      <c r="X9" s="37"/>
      <c r="Y9" s="38" t="str">
        <f t="shared" si="2"/>
        <v>#N/A</v>
      </c>
      <c r="Z9" s="3"/>
      <c r="AA9" s="3"/>
      <c r="AB9" s="3"/>
    </row>
    <row r="10">
      <c r="A10" s="1"/>
      <c r="B10" s="39"/>
      <c r="C10" s="23" t="s">
        <v>220</v>
      </c>
      <c r="D10" s="24" t="s">
        <v>35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IFERROR(__xludf.DUMMYFUNCTION("(VLOOKUP(J10,IMPORTRANGE(""https://docs.google.com/spreadsheets/d/1QfInhV6_YXjbJgeCXJ370Rz4ercnFoTR58xB4rzVAmY/edit?gid=1021743590#gid=1021743590"",""T11.2025!D4:I46""),6,0) &amp;"", ""&amp; TEXT(VLOOKUP(J10,IMPORTRANGE(""https://docs.google.com/spreadsheets/d/1Q"&amp;"fInhV6_YXjbJgeCXJ370Rz4ercnFoTR58xB4rzVAmY/edit?gid=1021743590#gid=1021743590"",""T11.2025!D4:I46""),5,0),""D/M/YYYY""))"),"#N/A")</f>
        <v>#N/A</v>
      </c>
      <c r="Q10" s="33" t="str">
        <f>IFERROR(__xludf.DUMMYFUNCTION("VLOOKUP(J10,IMPORTRANGE(""https://docs.google.com/spreadsheets/d/1QfInhV6_YXjbJgeCXJ370Rz4ercnFoTR58xB4rzVAmY/edit?gid=1021743590#gid=1021743590"",""T11.2025!D4:G46""),4,0)"),"#N/A")</f>
        <v>#N/A</v>
      </c>
      <c r="R10" s="25"/>
      <c r="S10" s="35"/>
      <c r="T10" s="35" t="str">
        <f t="shared" si="1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0" s="43" t="str">
        <f t="array" ref="U10">INDEX(C$37:C$40, MATCH(K10, D$37:D$40, 0))</f>
        <v>- Triển khai các hoạt động 
- 
- Các nhóm SV NCKH thực hiện theo tiến độ
- GVCN đôn đốc, nhắc nhở và liên hệ về gia đình SV nghỉ nhiều, nợ nhiều học phần
- </v>
      </c>
      <c r="V10" s="35"/>
      <c r="W10" s="13"/>
      <c r="X10" s="37"/>
      <c r="Y10" s="38" t="str">
        <f t="shared" si="2"/>
        <v>#N/A</v>
      </c>
      <c r="Z10" s="3"/>
      <c r="AA10" s="3"/>
      <c r="AB10" s="3"/>
    </row>
    <row r="11">
      <c r="A11" s="1"/>
      <c r="B11" s="39"/>
      <c r="C11" s="23" t="s">
        <v>221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53</v>
      </c>
      <c r="O11" s="44" t="s">
        <v>54</v>
      </c>
      <c r="P11" s="33" t="str">
        <f>IFERROR(__xludf.DUMMYFUNCTION("(VLOOKUP(J11,IMPORTRANGE(""https://docs.google.com/spreadsheets/d/1QfInhV6_YXjbJgeCXJ370Rz4ercnFoTR58xB4rzVAmY/edit?gid=1021743590#gid=1021743590"",""T11.2025!D4:I46""),6,0) &amp;"", ""&amp; TEXT(VLOOKUP(J11,IMPORTRANGE(""https://docs.google.com/spreadsheets/d/1Q"&amp;"fInhV6_YXjbJgeCXJ370Rz4ercnFoTR58xB4rzVAmY/edit?gid=1021743590#gid=1021743590"",""T11.2025!D4:I46""),5,0),""D/M/YYYY""))"),"#N/A")</f>
        <v>#N/A</v>
      </c>
      <c r="Q11" s="33" t="str">
        <f>IFERROR(__xludf.DUMMYFUNCTION("VLOOKUP(J11,IMPORTRANGE(""https://docs.google.com/spreadsheets/d/1QfInhV6_YXjbJgeCXJ370Rz4ercnFoTR58xB4rzVAmY/edit?gid=1021743590#gid=1021743590"",""T11.2025!D4:G46""),4,0)"),"#N/A")</f>
        <v>#N/A</v>
      </c>
      <c r="R11" s="30">
        <v>1.0</v>
      </c>
      <c r="S11" s="45" t="s">
        <v>55</v>
      </c>
      <c r="T11" s="45" t="s">
        <v>56</v>
      </c>
      <c r="U11" s="46" t="s">
        <v>57</v>
      </c>
      <c r="V11" s="45" t="s">
        <v>58</v>
      </c>
      <c r="W11" s="45" t="s">
        <v>58</v>
      </c>
      <c r="X11" s="47" t="s">
        <v>58</v>
      </c>
      <c r="Y11" s="38" t="str">
        <f t="shared" si="2"/>
        <v>#N/A</v>
      </c>
      <c r="Z11" s="3"/>
      <c r="AA11" s="3"/>
      <c r="AB11" s="3"/>
    </row>
    <row r="12">
      <c r="A12" s="1"/>
      <c r="B12" s="39"/>
      <c r="C12" s="23"/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IFERROR(__xludf.DUMMYFUNCTION("(VLOOKUP(J12,IMPORTRANGE(""https://docs.google.com/spreadsheets/d/1QfInhV6_YXjbJgeCXJ370Rz4ercnFoTR58xB4rzVAmY/edit?gid=1021743590#gid=1021743590"",""T11.2025!D4:I46""),6,0) &amp;"", ""&amp; TEXT(VLOOKUP(J12,IMPORTRANGE(""https://docs.google.com/spreadsheets/d/1Q"&amp;"fInhV6_YXjbJgeCXJ370Rz4ercnFoTR58xB4rzVAmY/edit?gid=1021743590#gid=1021743590"",""T11.2025!D4:I46""),5,0),""D/M/YYYY""))"),"#N/A")</f>
        <v>#N/A</v>
      </c>
      <c r="Q12" s="33" t="str">
        <f>IFERROR(__xludf.DUMMYFUNCTION("VLOOKUP(J12,IMPORTRANGE(""https://docs.google.com/spreadsheets/d/1QfInhV6_YXjbJgeCXJ370Rz4ercnFoTR58xB4rzVAmY/edit?gid=1021743590#gid=1021743590"",""T11.2025!D4:G46""),4,0)"),"#N/A")</f>
        <v>#N/A</v>
      </c>
      <c r="R12" s="25"/>
      <c r="T12" s="35" t="str">
        <f t="shared" ref="T12:T52" si="3">INDEX(C$20:C$23, MATCH(K12, D$20:D$23, 0))</f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2" s="43" t="str">
        <f t="shared" ref="U12:U27" si="4">INDEX(C$37:C$40, MATCH(K12, D$37:D$40, 0))</f>
        <v>- Triển khai các hoạt động 
- 
- Các nhóm SV NCKH thực hiện theo tiến độ
- GVCN đôn đốc, nhắc nhở và liên hệ về gia đình SV nghỉ nhiều, nợ nhiều học phần
- </v>
      </c>
      <c r="V12" s="35"/>
      <c r="W12" s="13"/>
      <c r="X12" s="37"/>
      <c r="Y12" s="38" t="str">
        <f t="shared" si="2"/>
        <v>#N/A</v>
      </c>
      <c r="Z12" s="3"/>
      <c r="AA12" s="3"/>
      <c r="AB12" s="3"/>
    </row>
    <row r="13">
      <c r="A13" s="1"/>
      <c r="B13" s="48"/>
      <c r="C13" s="23"/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IFERROR(__xludf.DUMMYFUNCTION("(VLOOKUP(J13,IMPORTRANGE(""https://docs.google.com/spreadsheets/d/1QfInhV6_YXjbJgeCXJ370Rz4ercnFoTR58xB4rzVAmY/edit?gid=1021743590#gid=1021743590"",""T11.2025!D4:I46""),6,0) &amp;"", ""&amp; TEXT(VLOOKUP(J13,IMPORTRANGE(""https://docs.google.com/spreadsheets/d/1Q"&amp;"fInhV6_YXjbJgeCXJ370Rz4ercnFoTR58xB4rzVAmY/edit?gid=1021743590#gid=1021743590"",""T11.2025!D4:I46""),5,0),""D/M/YYYY""))"),"#N/A")</f>
        <v>#N/A</v>
      </c>
      <c r="Q13" s="33" t="str">
        <f>IFERROR(__xludf.DUMMYFUNCTION("VLOOKUP(J13,IMPORTRANGE(""https://docs.google.com/spreadsheets/d/1QfInhV6_YXjbJgeCXJ370Rz4ercnFoTR58xB4rzVAmY/edit?gid=1021743590#gid=1021743590"",""T11.2025!D4:G46""),4,0)"),"#N/A")</f>
        <v>#N/A</v>
      </c>
      <c r="R13" s="25"/>
      <c r="S13" s="35"/>
      <c r="T13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3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3" s="35"/>
      <c r="W13" s="13"/>
      <c r="X13" s="37"/>
      <c r="Y13" s="38" t="str">
        <f t="shared" si="2"/>
        <v>#N/A</v>
      </c>
      <c r="Z13" s="3"/>
      <c r="AA13" s="3"/>
      <c r="AB13" s="3"/>
    </row>
    <row r="14">
      <c r="A14" s="1"/>
      <c r="B14" s="51" t="s">
        <v>65</v>
      </c>
      <c r="C14" s="23" t="s">
        <v>66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IFERROR(__xludf.DUMMYFUNCTION("(VLOOKUP(J14,IMPORTRANGE(""https://docs.google.com/spreadsheets/d/1QfInhV6_YXjbJgeCXJ370Rz4ercnFoTR58xB4rzVAmY/edit?gid=1021743590#gid=1021743590"",""T11.2025!D4:I46""),6,0) &amp;"", ""&amp; TEXT(VLOOKUP(J14,IMPORTRANGE(""https://docs.google.com/spreadsheets/d/1Q"&amp;"fInhV6_YXjbJgeCXJ370Rz4ercnFoTR58xB4rzVAmY/edit?gid=1021743590#gid=1021743590"",""T11.2025!D4:I46""),5,0),""D/M/YYYY""))"),"#N/A")</f>
        <v>#N/A</v>
      </c>
      <c r="Q14" s="33" t="str">
        <f>IFERROR(__xludf.DUMMYFUNCTION("VLOOKUP(J14,IMPORTRANGE(""https://docs.google.com/spreadsheets/d/1QfInhV6_YXjbJgeCXJ370Rz4ercnFoTR58xB4rzVAmY/edit?gid=1021743590#gid=1021743590"",""T11.2025!D4:G46""),4,0)"),"#N/A")</f>
        <v>#N/A</v>
      </c>
      <c r="R14" s="25"/>
      <c r="S14" s="35"/>
      <c r="T14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4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4" s="35"/>
      <c r="W14" s="13"/>
      <c r="X14" s="37"/>
      <c r="Y14" s="38" t="str">
        <f t="shared" si="2"/>
        <v>#N/A</v>
      </c>
      <c r="Z14" s="3"/>
      <c r="AA14" s="3"/>
      <c r="AB14" s="3"/>
    </row>
    <row r="15">
      <c r="A15" s="1"/>
      <c r="B15" s="39"/>
      <c r="C15" s="23" t="s">
        <v>211</v>
      </c>
      <c r="D15" s="24" t="s">
        <v>69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IFERROR(__xludf.DUMMYFUNCTION("(VLOOKUP(J15,IMPORTRANGE(""https://docs.google.com/spreadsheets/d/1QfInhV6_YXjbJgeCXJ370Rz4ercnFoTR58xB4rzVAmY/edit?gid=1021743590#gid=1021743590"",""T11.2025!D4:I46""),6,0) &amp;"", ""&amp; TEXT(VLOOKUP(J15,IMPORTRANGE(""https://docs.google.com/spreadsheets/d/1Q"&amp;"fInhV6_YXjbJgeCXJ370Rz4ercnFoTR58xB4rzVAmY/edit?gid=1021743590#gid=1021743590"",""T11.2025!D4:I46""),5,0),""D/M/YYYY""))"),"#N/A")</f>
        <v>#N/A</v>
      </c>
      <c r="Q15" s="33" t="str">
        <f>IFERROR(__xludf.DUMMYFUNCTION("VLOOKUP(J15,IMPORTRANGE(""https://docs.google.com/spreadsheets/d/1QfInhV6_YXjbJgeCXJ370Rz4ercnFoTR58xB4rzVAmY/edit?gid=1021743590#gid=1021743590"",""T11.2025!D4:G46""),4,0)"),"#N/A")</f>
        <v>#N/A</v>
      </c>
      <c r="R15" s="25"/>
      <c r="S15" s="35"/>
      <c r="T15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5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5" s="35"/>
      <c r="W15" s="13"/>
      <c r="X15" s="37"/>
      <c r="Y15" s="38" t="str">
        <f t="shared" si="2"/>
        <v>#N/A</v>
      </c>
      <c r="Z15" s="3"/>
      <c r="AA15" s="3"/>
      <c r="AB15" s="3"/>
    </row>
    <row r="16">
      <c r="A16" s="1"/>
      <c r="B16" s="39"/>
      <c r="D16" s="24"/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IFERROR(__xludf.DUMMYFUNCTION("(VLOOKUP(J16,IMPORTRANGE(""https://docs.google.com/spreadsheets/d/1QfInhV6_YXjbJgeCXJ370Rz4ercnFoTR58xB4rzVAmY/edit?gid=1021743590#gid=1021743590"",""T11.2025!D4:I46""),6,0) &amp;"", ""&amp; TEXT(VLOOKUP(J16,IMPORTRANGE(""https://docs.google.com/spreadsheets/d/1Q"&amp;"fInhV6_YXjbJgeCXJ370Rz4ercnFoTR58xB4rzVAmY/edit?gid=1021743590#gid=1021743590"",""T11.2025!D4:I46""),5,0),""D/M/YYYY""))"),"#N/A")</f>
        <v>#N/A</v>
      </c>
      <c r="Q16" s="33" t="str">
        <f>IFERROR(__xludf.DUMMYFUNCTION("VLOOKUP(J16,IMPORTRANGE(""https://docs.google.com/spreadsheets/d/1QfInhV6_YXjbJgeCXJ370Rz4ercnFoTR58xB4rzVAmY/edit?gid=1021743590#gid=1021743590"",""T11.2025!D4:G46""),4,0)"),"#N/A")</f>
        <v>#N/A</v>
      </c>
      <c r="R16" s="25"/>
      <c r="S16" s="35"/>
      <c r="T16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6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6" s="35"/>
      <c r="W16" s="13"/>
      <c r="X16" s="37"/>
      <c r="Y16" s="38" t="str">
        <f t="shared" si="2"/>
        <v>#N/A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IFERROR(__xludf.DUMMYFUNCTION("(VLOOKUP(J17,IMPORTRANGE(""https://docs.google.com/spreadsheets/d/1QfInhV6_YXjbJgeCXJ370Rz4ercnFoTR58xB4rzVAmY/edit?gid=1021743590#gid=1021743590"",""T11.2025!D4:I46""),6,0) &amp;"", ""&amp; TEXT(VLOOKUP(J17,IMPORTRANGE(""https://docs.google.com/spreadsheets/d/1Q"&amp;"fInhV6_YXjbJgeCXJ370Rz4ercnFoTR58xB4rzVAmY/edit?gid=1021743590#gid=1021743590"",""T11.2025!D4:I46""),5,0),""D/M/YYYY""))"),"#N/A")</f>
        <v>#N/A</v>
      </c>
      <c r="Q17" s="33" t="str">
        <f>IFERROR(__xludf.DUMMYFUNCTION("VLOOKUP(J17,IMPORTRANGE(""https://docs.google.com/spreadsheets/d/1QfInhV6_YXjbJgeCXJ370Rz4ercnFoTR58xB4rzVAmY/edit?gid=1021743590#gid=1021743590"",""T11.2025!D4:G46""),4,0)"),"#N/A")</f>
        <v>#N/A</v>
      </c>
      <c r="R17" s="25"/>
      <c r="S17" s="35"/>
      <c r="T17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7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7" s="35"/>
      <c r="W17" s="13"/>
      <c r="X17" s="37"/>
      <c r="Y17" s="38" t="str">
        <f t="shared" si="2"/>
        <v>#N/A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6">
        <v>23.0</v>
      </c>
      <c r="N18" s="42" t="s">
        <v>79</v>
      </c>
      <c r="O18" s="42"/>
      <c r="P18" s="33" t="str">
        <f>IFERROR(__xludf.DUMMYFUNCTION("(VLOOKUP(J18,IMPORTRANGE(""https://docs.google.com/spreadsheets/d/1QfInhV6_YXjbJgeCXJ370Rz4ercnFoTR58xB4rzVAmY/edit?gid=1021743590#gid=1021743590"",""T11.2025!D4:I46""),6,0) &amp;"", ""&amp; TEXT(VLOOKUP(J18,IMPORTRANGE(""https://docs.google.com/spreadsheets/d/1Q"&amp;"fInhV6_YXjbJgeCXJ370Rz4ercnFoTR58xB4rzVAmY/edit?gid=1021743590#gid=1021743590"",""T11.2025!D4:I46""),5,0),""D/M/YYYY""))"),"11h00, 27/11/2025")</f>
        <v>11h00, 27/11/2025</v>
      </c>
      <c r="Q18" s="33" t="str">
        <f>IFERROR(__xludf.DUMMYFUNCTION("VLOOKUP(J18,IMPORTRANGE(""https://docs.google.com/spreadsheets/d/1QfInhV6_YXjbJgeCXJ370Rz4ercnFoTR58xB4rzVAmY/edit?gid=1021743590#gid=1021743590"",""T11.2025!D4:G46""),4,0)"),"ĐH206")</f>
        <v>ĐH206</v>
      </c>
      <c r="R18" s="25"/>
      <c r="S18" s="45" t="s">
        <v>222</v>
      </c>
      <c r="T18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8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8" s="35"/>
      <c r="W18" s="13"/>
      <c r="X18" s="37"/>
      <c r="Y18" s="38" t="str">
        <f t="shared" si="2"/>
        <v>27/11/2025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57" t="s">
        <v>81</v>
      </c>
      <c r="K19" s="5" t="s">
        <v>35</v>
      </c>
      <c r="L19" s="30" t="s">
        <v>78</v>
      </c>
      <c r="M19" s="56">
        <v>74.0</v>
      </c>
      <c r="N19" s="42" t="s">
        <v>82</v>
      </c>
      <c r="O19" s="42"/>
      <c r="P19" s="33" t="str">
        <f>IFERROR(__xludf.DUMMYFUNCTION("(VLOOKUP(J19,IMPORTRANGE(""https://docs.google.com/spreadsheets/d/1QfInhV6_YXjbJgeCXJ370Rz4ercnFoTR58xB4rzVAmY/edit?gid=1021743590#gid=1021743590"",""T11.2025!D4:I46""),6,0) &amp;"", ""&amp; TEXT(VLOOKUP(J19,IMPORTRANGE(""https://docs.google.com/spreadsheets/d/1Q"&amp;"fInhV6_YXjbJgeCXJ370Rz4ercnFoTR58xB4rzVAmY/edit?gid=1021743590#gid=1021743590"",""T11.2025!D4:I46""),5,0),""D/M/YYYY""))"),"#N/A")</f>
        <v>#N/A</v>
      </c>
      <c r="Q19" s="33" t="str">
        <f>IFERROR(__xludf.DUMMYFUNCTION("VLOOKUP(J19,IMPORTRANGE(""https://docs.google.com/spreadsheets/d/1QfInhV6_YXjbJgeCXJ370Rz4ercnFoTR58xB4rzVAmY/edit?gid=1021743590#gid=1021743590"",""T11.2025!D4:G46""),4,0)"),"#N/A")</f>
        <v>#N/A</v>
      </c>
      <c r="R19" s="25"/>
      <c r="S19" s="45" t="s">
        <v>222</v>
      </c>
      <c r="T19" s="35" t="str">
        <f t="shared" si="3"/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U19" s="43" t="str">
        <f t="shared" si="4"/>
        <v>- Triển khai các hoạt động 
- 
- Các nhóm SV NCKH thực hiện theo tiến độ
- GVCN đôn đốc, nhắc nhở và liên hệ về gia đình SV nghỉ nhiều, nợ nhiều học phần
- </v>
      </c>
      <c r="V19" s="35"/>
      <c r="W19" s="13"/>
      <c r="X19" s="37"/>
      <c r="Y19" s="38" t="str">
        <f t="shared" si="2"/>
        <v>#N/A</v>
      </c>
      <c r="Z19" s="3"/>
      <c r="AA19" s="3"/>
      <c r="AB19" s="3"/>
    </row>
    <row r="20" ht="118.5" customHeight="1">
      <c r="A20" s="1"/>
      <c r="B20" s="51" t="s">
        <v>84</v>
      </c>
      <c r="C20" s="58" t="str">
        <f>IFERROR(__xludf.DUMMYFUNCTION("JOIN(CHAR(10), FILTER(""- "" &amp; C$8:C$19, (D$8:D$19 = ""ALL"") + (D$8:D$19 = D20)))"),"-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n"&amp;"ghiệp, NCKH")</f>
        <v>- Thông báo cập nhật thông tin sinh viên trên cổng quả lý đào tạo
- TB về việc nộp tiền BHYT năm 2026
- TB thi trắc nghiệm tuần SHCD trên cổng học trực tuyến
- TB cho SV nâng cao cảnh giác, đề phòng các đối tượng lừa đảo
- 
- Triển khai các nhóm SV Khởi nghiệp, NCKH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IFERROR(__xludf.DUMMYFUNCTION("(VLOOKUP(J20,IMPORTRANGE(""https://docs.google.com/spreadsheets/d/1QfInhV6_YXjbJgeCXJ370Rz4ercnFoTR58xB4rzVAmY/edit?gid=1021743590#gid=1021743590"",""T11.2025!D4:I46""),6,0) &amp;"", ""&amp; TEXT(VLOOKUP(J20,IMPORTRANGE(""https://docs.google.com/spreadsheets/d/1Q"&amp;"fInhV6_YXjbJgeCXJ370Rz4ercnFoTR58xB4rzVAmY/edit?gid=1021743590#gid=1021743590"",""T11.2025!D4:I46""),5,0),""D/M/YYYY""))"),", 30/12/1899")</f>
        <v>, 30/12/1899</v>
      </c>
      <c r="Q20" s="33" t="str">
        <f>IFERROR(__xludf.DUMMYFUNCTION("VLOOKUP(J20,IMPORTRANGE(""https://docs.google.com/spreadsheets/d/1QfInhV6_YXjbJgeCXJ370Rz4ercnFoTR58xB4rzVAmY/edit?gid=1021743590#gid=1021743590"",""T11.2025!D4:G46""),4,0)"),"")</f>
        <v/>
      </c>
      <c r="R20" s="25"/>
      <c r="S20" s="35"/>
      <c r="T20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0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TB về việc nộp tiền BHYT năm 2026
- TB cho SV nâng cao cảnh giác, đề phòng các đối tượng lừa đảo
- 
- Triển khai các nhóm SV Khởi nghiệp, NCKH
- Triển khai SV K20 thực tập DN")</f>
        <v>- TB về việc nộp tiền BHYT năm 2026
- TB cho SV nâng cao cảnh giác, đề phòng các đối tượng lừa đảo
- 
- Triển khai các nhóm SV Khởi nghiệp, NCKH
- Triển khai SV K20 thực tập DN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IFERROR(__xludf.DUMMYFUNCTION("(VLOOKUP(J21,IMPORTRANGE(""https://docs.google.com/spreadsheets/d/1QfInhV6_YXjbJgeCXJ370Rz4ercnFoTR58xB4rzVAmY/edit?gid=1021743590#gid=1021743590"",""T11.2025!D4:I46""),6,0) &amp;"", ""&amp; TEXT(VLOOKUP(J21,IMPORTRANGE(""https://docs.google.com/spreadsheets/d/1Q"&amp;"fInhV6_YXjbJgeCXJ370Rz4ercnFoTR58xB4rzVAmY/edit?gid=1021743590#gid=1021743590"",""T11.2025!D4:I46""),5,0),""D/M/YYYY""))"),", 30/12/1899")</f>
        <v>, 30/12/1899</v>
      </c>
      <c r="Q21" s="33" t="str">
        <f>IFERROR(__xludf.DUMMYFUNCTION("VLOOKUP(J21,IMPORTRANGE(""https://docs.google.com/spreadsheets/d/1QfInhV6_YXjbJgeCXJ370Rz4ercnFoTR58xB4rzVAmY/edit?gid=1021743590#gid=1021743590"",""T11.2025!D4:G46""),4,0)"),"")</f>
        <v/>
      </c>
      <c r="R21" s="25"/>
      <c r="S21" s="35"/>
      <c r="T21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1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TB về việc nộp tiền BHYT năm 2026
- TB cho SV nâng cao cảnh giác, đề phòng các đối tượng lừa đảo
- 
- Triển khai các nhóm SV Khởi nghiệp, NCKH")</f>
        <v>- TB về việc nộp tiền BHYT năm 2026
- TB cho SV nâng cao cảnh giác, đề phòng các đối tượng lừa đảo
- 
- Triển khai các nhóm SV Khởi nghiệp, NCKH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IFERROR(__xludf.DUMMYFUNCTION("(VLOOKUP(J22,IMPORTRANGE(""https://docs.google.com/spreadsheets/d/1QfInhV6_YXjbJgeCXJ370Rz4ercnFoTR58xB4rzVAmY/edit?gid=1021743590#gid=1021743590"",""T11.2025!D4:I46""),6,0) &amp;"", ""&amp; TEXT(VLOOKUP(J22,IMPORTRANGE(""https://docs.google.com/spreadsheets/d/1Q"&amp;"fInhV6_YXjbJgeCXJ370Rz4ercnFoTR58xB4rzVAmY/edit?gid=1021743590#gid=1021743590"",""T11.2025!D4:I46""),5,0),""D/M/YYYY""))"),"20h00, 28/11/2025")</f>
        <v>20h00, 28/11/2025</v>
      </c>
      <c r="Q22" s="33" t="str">
        <f>IFERROR(__xludf.DUMMYFUNCTION("VLOOKUP(J22,IMPORTRANGE(""https://docs.google.com/spreadsheets/d/1QfInhV6_YXjbJgeCXJ370Rz4ercnFoTR58xB4rzVAmY/edit?gid=1021743590#gid=1021743590"",""T11.2025!D4:G46""),4,0)"),"Online")</f>
        <v>Online</v>
      </c>
      <c r="R22" s="25"/>
      <c r="S22" s="35"/>
      <c r="T22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2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TB về việc nộp tiền BHYT năm 2026
- TB cho SV nâng cao cảnh giác, đề phòng các đối tượng lừa đảo
- 
- Triển khai các nhóm SV Khởi nghiệp, NCKH")</f>
        <v>- TB về việc nộp tiền BHYT năm 2026
- TB cho SV nâng cao cảnh giác, đề phòng các đối tượng lừa đảo
- 
- Triển khai các nhóm SV Khởi nghiệp, NCKH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IFERROR(__xludf.DUMMYFUNCTION("(VLOOKUP(J23,IMPORTRANGE(""https://docs.google.com/spreadsheets/d/1QfInhV6_YXjbJgeCXJ370Rz4ercnFoTR58xB4rzVAmY/edit?gid=1021743590#gid=1021743590"",""T11.2025!D4:I46""),6,0) &amp;"", ""&amp; TEXT(VLOOKUP(J23,IMPORTRANGE(""https://docs.google.com/spreadsheets/d/1Q"&amp;"fInhV6_YXjbJgeCXJ370Rz4ercnFoTR58xB4rzVAmY/edit?gid=1021743590#gid=1021743590"",""T11.2025!D4:I46""),5,0),""D/M/YYYY""))"),", 30/12/1899")</f>
        <v>, 30/12/1899</v>
      </c>
      <c r="Q23" s="33" t="str">
        <f>IFERROR(__xludf.DUMMYFUNCTION("VLOOKUP(J23,IMPORTRANGE(""https://docs.google.com/spreadsheets/d/1QfInhV6_YXjbJgeCXJ370Rz4ercnFoTR58xB4rzVAmY/edit?gid=1021743590#gid=1021743590"",""T11.2025!D4:G46""),4,0)"),"")</f>
        <v/>
      </c>
      <c r="R23" s="25"/>
      <c r="S23" s="35"/>
      <c r="T23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3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3" s="35"/>
      <c r="W23" s="13"/>
      <c r="X23" s="37"/>
      <c r="Y23" s="38" t="str">
        <f t="shared" ref="Y23:Y55" si="5">TRIM(MID(P23, FIND(",", P23) + 1, LEN(P23)))</f>
        <v>30/12/1899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IFERROR(__xludf.DUMMYFUNCTION("(VLOOKUP(J24,IMPORTRANGE(""https://docs.google.com/spreadsheets/d/1QfInhV6_YXjbJgeCXJ370Rz4ercnFoTR58xB4rzVAmY/edit?gid=1021743590#gid=1021743590"",""T11.2025!D4:I46""),6,0) &amp;"", ""&amp; TEXT(VLOOKUP(J24,IMPORTRANGE(""https://docs.google.com/spreadsheets/d/1Q"&amp;"fInhV6_YXjbJgeCXJ370Rz4ercnFoTR58xB4rzVAmY/edit?gid=1021743590#gid=1021743590"",""T11.2025!D4:I46""),5,0),""D/M/YYYY""))"),"20h00, 1/12/2025")</f>
        <v>20h00, 1/12/2025</v>
      </c>
      <c r="Q24" s="33" t="str">
        <f>IFERROR(__xludf.DUMMYFUNCTION("VLOOKUP(J24,IMPORTRANGE(""https://docs.google.com/spreadsheets/d/1QfInhV6_YXjbJgeCXJ370Rz4ercnFoTR58xB4rzVAmY/edit?gid=1021743590#gid=1021743590"",""T11.2025!D4:G46""),4,0)"),"Online")</f>
        <v>Online</v>
      </c>
      <c r="R24" s="25"/>
      <c r="S24" s="35"/>
      <c r="T24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4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4" s="35"/>
      <c r="W24" s="13"/>
      <c r="X24" s="37"/>
      <c r="Y24" s="38" t="str">
        <f t="shared" si="5"/>
        <v>1/12/2025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IFERROR(__xludf.DUMMYFUNCTION("(VLOOKUP(J25,IMPORTRANGE(""https://docs.google.com/spreadsheets/d/1QfInhV6_YXjbJgeCXJ370Rz4ercnFoTR58xB4rzVAmY/edit?gid=1021743590#gid=1021743590"",""T11.2025!D4:I46""),6,0) &amp;"", ""&amp; TEXT(VLOOKUP(J25,IMPORTRANGE(""https://docs.google.com/spreadsheets/d/1Q"&amp;"fInhV6_YXjbJgeCXJ370Rz4ercnFoTR58xB4rzVAmY/edit?gid=1021743590#gid=1021743590"",""T11.2025!D4:I46""),5,0),""D/M/YYYY""))"),"20H00, 28/11/2025")</f>
        <v>20H00, 28/11/2025</v>
      </c>
      <c r="Q25" s="33" t="str">
        <f>IFERROR(__xludf.DUMMYFUNCTION("VLOOKUP(J25,IMPORTRANGE(""https://docs.google.com/spreadsheets/d/1QfInhV6_YXjbJgeCXJ370Rz4ercnFoTR58xB4rzVAmY/edit?gid=1021743590#gid=1021743590"",""T11.2025!D4:G46""),4,0)"),"Online")</f>
        <v>Online</v>
      </c>
      <c r="R25" s="25"/>
      <c r="S25" s="35"/>
      <c r="T25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5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5" s="35"/>
      <c r="W25" s="13"/>
      <c r="X25" s="37"/>
      <c r="Y25" s="38" t="str">
        <f t="shared" si="5"/>
        <v>28/11/2025</v>
      </c>
      <c r="Z25" s="3"/>
      <c r="AA25" s="3"/>
      <c r="AB25" s="3"/>
    </row>
    <row r="26">
      <c r="A26" s="65"/>
      <c r="B26" s="22"/>
      <c r="C26" s="23" t="s">
        <v>223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IFERROR(__xludf.DUMMYFUNCTION("(VLOOKUP(J26,IMPORTRANGE(""https://docs.google.com/spreadsheets/d/1QfInhV6_YXjbJgeCXJ370Rz4ercnFoTR58xB4rzVAmY/edit?gid=1021743590#gid=1021743590"",""T11.2025!D4:I46""),6,0) &amp;"", ""&amp; TEXT(VLOOKUP(J26,IMPORTRANGE(""https://docs.google.com/spreadsheets/d/1Q"&amp;"fInhV6_YXjbJgeCXJ370Rz4ercnFoTR58xB4rzVAmY/edit?gid=1021743590#gid=1021743590"",""T11.2025!D4:I46""),5,0),""D/M/YYYY""))"),", 30/12/1899")</f>
        <v>, 30/12/1899</v>
      </c>
      <c r="Q26" s="33" t="str">
        <f>IFERROR(__xludf.DUMMYFUNCTION("VLOOKUP(J26,IMPORTRANGE(""https://docs.google.com/spreadsheets/d/1QfInhV6_YXjbJgeCXJ370Rz4ercnFoTR58xB4rzVAmY/edit?gid=1021743590#gid=1021743590"",""T11.2025!D4:G46""),4,0)"),"")</f>
        <v/>
      </c>
      <c r="R26" s="25"/>
      <c r="S26" s="35"/>
      <c r="T26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6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6" s="35"/>
      <c r="W26" s="13"/>
      <c r="X26" s="37"/>
      <c r="Y26" s="38" t="str">
        <f t="shared" si="5"/>
        <v>30/12/1899</v>
      </c>
      <c r="Z26" s="3"/>
      <c r="AA26" s="3"/>
      <c r="AB26" s="3"/>
    </row>
    <row r="27">
      <c r="A27" s="65"/>
      <c r="B27" s="39"/>
      <c r="C27" s="23"/>
      <c r="D27" s="24" t="s">
        <v>31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IFERROR(__xludf.DUMMYFUNCTION("(VLOOKUP(J27,IMPORTRANGE(""https://docs.google.com/spreadsheets/d/1QfInhV6_YXjbJgeCXJ370Rz4ercnFoTR58xB4rzVAmY/edit?gid=1021743590#gid=1021743590"",""T11.2025!D4:I46""),6,0) &amp;"", ""&amp; TEXT(VLOOKUP(J27,IMPORTRANGE(""https://docs.google.com/spreadsheets/d/1Q"&amp;"fInhV6_YXjbJgeCXJ370Rz4ercnFoTR58xB4rzVAmY/edit?gid=1021743590#gid=1021743590"",""T11.2025!D4:I46""),5,0),""D/M/YYYY""))"),", 30/12/1899")</f>
        <v>, 30/12/1899</v>
      </c>
      <c r="Q27" s="33" t="str">
        <f>IFERROR(__xludf.DUMMYFUNCTION("VLOOKUP(J27,IMPORTRANGE(""https://docs.google.com/spreadsheets/d/1QfInhV6_YXjbJgeCXJ370Rz4ercnFoTR58xB4rzVAmY/edit?gid=1021743590#gid=1021743590"",""T11.2025!D4:G46""),4,0)"),"")</f>
        <v/>
      </c>
      <c r="R27" s="25"/>
      <c r="S27" s="45" t="s">
        <v>117</v>
      </c>
      <c r="T27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7" s="43" t="str">
        <f t="shared" si="4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7" s="35"/>
      <c r="W27" s="13"/>
      <c r="X27" s="37"/>
      <c r="Y27" s="38" t="str">
        <f t="shared" si="5"/>
        <v>30/12/1899</v>
      </c>
      <c r="Z27" s="3"/>
      <c r="AA27" s="3"/>
      <c r="AB27" s="3"/>
    </row>
    <row r="28">
      <c r="A28" s="65"/>
      <c r="B28" s="39"/>
      <c r="C28" s="23" t="s">
        <v>224</v>
      </c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IFERROR(__xludf.DUMMYFUNCTION("(VLOOKUP(J28,IMPORTRANGE(""https://docs.google.com/spreadsheets/d/1QfInhV6_YXjbJgeCXJ370Rz4ercnFoTR58xB4rzVAmY/edit?gid=1021743590#gid=1021743590"",""T11.2025!D4:I46""),6,0) &amp;"", ""&amp; TEXT(VLOOKUP(J28,IMPORTRANGE(""https://docs.google.com/spreadsheets/d/1Q"&amp;"fInhV6_YXjbJgeCXJ370Rz4ercnFoTR58xB4rzVAmY/edit?gid=1021743590#gid=1021743590"",""T11.2025!D4:I46""),5,0),""D/M/YYYY""))"),", 28/11/2025")</f>
        <v>, 28/11/2025</v>
      </c>
      <c r="Q28" s="33" t="str">
        <f>IFERROR(__xludf.DUMMYFUNCTION("VLOOKUP(J28,IMPORTRANGE(""https://docs.google.com/spreadsheets/d/1QfInhV6_YXjbJgeCXJ370Rz4ercnFoTR58xB4rzVAmY/edit?gid=1021743590#gid=1021743590"",""T11.2025!D4:G46""),4,0)"),"online")</f>
        <v>online</v>
      </c>
      <c r="R28" s="25"/>
      <c r="S28" s="68" t="s">
        <v>122</v>
      </c>
      <c r="T28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8" s="69" t="s">
        <v>123</v>
      </c>
      <c r="V28" s="45" t="s">
        <v>58</v>
      </c>
      <c r="W28" s="70" t="s">
        <v>58</v>
      </c>
      <c r="X28" s="47" t="s">
        <v>58</v>
      </c>
      <c r="Y28" s="38" t="str">
        <f t="shared" si="5"/>
        <v>28/11/2025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IFERROR(__xludf.DUMMYFUNCTION("(VLOOKUP(J29,IMPORTRANGE(""https://docs.google.com/spreadsheets/d/1QfInhV6_YXjbJgeCXJ370Rz4ercnFoTR58xB4rzVAmY/edit?gid=1021743590#gid=1021743590"",""T11.2025!D4:I46""),6,0) &amp;"", ""&amp; TEXT(VLOOKUP(J29,IMPORTRANGE(""https://docs.google.com/spreadsheets/d/1Q"&amp;"fInhV6_YXjbJgeCXJ370Rz4ercnFoTR58xB4rzVAmY/edit?gid=1021743590#gid=1021743590"",""T11.2025!D4:I46""),5,0),""D/M/YYYY""))"),", 30/12/1899")</f>
        <v>, 30/12/1899</v>
      </c>
      <c r="Q29" s="33" t="str">
        <f>IFERROR(__xludf.DUMMYFUNCTION("VLOOKUP(J29,IMPORTRANGE(""https://docs.google.com/spreadsheets/d/1QfInhV6_YXjbJgeCXJ370Rz4ercnFoTR58xB4rzVAmY/edit?gid=1021743590#gid=1021743590"",""T11.2025!D4:G46""),4,0)"),"")</f>
        <v/>
      </c>
      <c r="R29" s="25"/>
      <c r="S29" s="35"/>
      <c r="T29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29" s="43" t="str">
        <f t="shared" ref="U29:U52" si="6">INDEX(C$37:C$40, MATCH(K29, D$37:D$40, 0))</f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9" s="35"/>
      <c r="W29" s="13"/>
      <c r="X29" s="37"/>
      <c r="Y29" s="38" t="str">
        <f t="shared" si="5"/>
        <v>30/12/1899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IFERROR(__xludf.DUMMYFUNCTION("(VLOOKUP(J30,IMPORTRANGE(""https://docs.google.com/spreadsheets/d/1QfInhV6_YXjbJgeCXJ370Rz4ercnFoTR58xB4rzVAmY/edit?gid=1021743590#gid=1021743590"",""T11.2025!D4:I46""),6,0) &amp;"", ""&amp; TEXT(VLOOKUP(J30,IMPORTRANGE(""https://docs.google.com/spreadsheets/d/1Q"&amp;"fInhV6_YXjbJgeCXJ370Rz4ercnFoTR58xB4rzVAmY/edit?gid=1021743590#gid=1021743590"",""T11.2025!D4:I46""),5,0),""D/M/YYYY""))"),"20H00, 25/11/2025")</f>
        <v>20H00, 25/11/2025</v>
      </c>
      <c r="Q30" s="33" t="str">
        <f>IFERROR(__xludf.DUMMYFUNCTION("VLOOKUP(J30,IMPORTRANGE(""https://docs.google.com/spreadsheets/d/1QfInhV6_YXjbJgeCXJ370Rz4ercnFoTR58xB4rzVAmY/edit?gid=1021743590#gid=1021743590"",""T11.2025!D4:G46""),4,0)"),"Online")</f>
        <v>Online</v>
      </c>
      <c r="R30" s="25"/>
      <c r="S30" s="45" t="s">
        <v>225</v>
      </c>
      <c r="T30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30" s="43" t="str">
        <f t="shared" si="6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0" s="35"/>
      <c r="W30" s="13"/>
      <c r="X30" s="47" t="s">
        <v>130</v>
      </c>
      <c r="Y30" s="38" t="str">
        <f t="shared" si="5"/>
        <v>25/11/2025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IFERROR(__xludf.DUMMYFUNCTION("(VLOOKUP(J31,IMPORTRANGE(""https://docs.google.com/spreadsheets/d/1QfInhV6_YXjbJgeCXJ370Rz4ercnFoTR58xB4rzVAmY/edit?gid=1021743590#gid=1021743590"",""T11.2025!D4:I46""),6,0) &amp;"", ""&amp; TEXT(VLOOKUP(J31,IMPORTRANGE(""https://docs.google.com/spreadsheets/d/1Q"&amp;"fInhV6_YXjbJgeCXJ370Rz4ercnFoTR58xB4rzVAmY/edit?gid=1021743590#gid=1021743590"",""T11.2025!D4:I46""),5,0),""D/M/YYYY""))"),"#N/A")</f>
        <v>#N/A</v>
      </c>
      <c r="Q31" s="33" t="str">
        <f>IFERROR(__xludf.DUMMYFUNCTION("VLOOKUP(J31,IMPORTRANGE(""https://docs.google.com/spreadsheets/d/1QfInhV6_YXjbJgeCXJ370Rz4ercnFoTR58xB4rzVAmY/edit?gid=1021743590#gid=1021743590"",""T11.2025!D4:G46""),4,0)"),"#N/A")</f>
        <v>#N/A</v>
      </c>
      <c r="R31" s="25"/>
      <c r="S31" s="35"/>
      <c r="T31" s="35" t="str">
        <f t="shared" si="3"/>
        <v>- TB về việc nộp tiền BHYT năm 2026
- TB cho SV nâng cao cảnh giác, đề phòng các đối tượng lừa đảo
- 
- Triển khai các nhóm SV Khởi nghiệp, NCKH
- Triển khai SV K20 thực tập DN</v>
      </c>
      <c r="U31" s="43" t="str">
        <f t="shared" si="6"/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1" s="35"/>
      <c r="W31" s="13"/>
      <c r="X31" s="37"/>
      <c r="Y31" s="38" t="str">
        <f t="shared" si="5"/>
        <v>#N/A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IFERROR(__xludf.DUMMYFUNCTION("(VLOOKUP(J32,IMPORTRANGE(""https://docs.google.com/spreadsheets/d/1QfInhV6_YXjbJgeCXJ370Rz4ercnFoTR58xB4rzVAmY/edit?gid=1021743590#gid=1021743590"",""T11.2025!D4:I46""),6,0) &amp;"", ""&amp; TEXT(VLOOKUP(J32,IMPORTRANGE(""https://docs.google.com/spreadsheets/d/1Q"&amp;"fInhV6_YXjbJgeCXJ370Rz4ercnFoTR58xB4rzVAmY/edit?gid=1021743590#gid=1021743590"",""T11.2025!D4:I46""),5,0),""D/M/YYYY""))"),", 30/12/1899")</f>
        <v>, 30/12/1899</v>
      </c>
      <c r="Q32" s="33" t="str">
        <f>IFERROR(__xludf.DUMMYFUNCTION("VLOOKUP(J32,IMPORTRANGE(""https://docs.google.com/spreadsheets/d/1QfInhV6_YXjbJgeCXJ370Rz4ercnFoTR58xB4rzVAmY/edit?gid=1021743590#gid=1021743590"",""T11.2025!D4:G46""),4,0)"),"")</f>
        <v/>
      </c>
      <c r="R32" s="25"/>
      <c r="S32" s="35"/>
      <c r="T32" s="35" t="str">
        <f t="shared" si="3"/>
        <v>- TB về việc nộp tiền BHYT năm 2026
- TB cho SV nâng cao cảnh giác, đề phòng các đối tượng lừa đảo
- 
- Triển khai các nhóm SV Khởi nghiệp, NCKH</v>
      </c>
      <c r="U32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2" s="35"/>
      <c r="W32" s="13"/>
      <c r="X32" s="37"/>
      <c r="Y32" s="38" t="str">
        <f t="shared" si="5"/>
        <v>30/12/1899</v>
      </c>
      <c r="Z32" s="3"/>
      <c r="AA32" s="3"/>
      <c r="AB32" s="3"/>
    </row>
    <row r="33">
      <c r="A33" s="65"/>
      <c r="B33" s="39"/>
      <c r="C33" s="23" t="s">
        <v>138</v>
      </c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IFERROR(__xludf.DUMMYFUNCTION("(VLOOKUP(J33,IMPORTRANGE(""https://docs.google.com/spreadsheets/d/1QfInhV6_YXjbJgeCXJ370Rz4ercnFoTR58xB4rzVAmY/edit?gid=1021743590#gid=1021743590"",""T11.2025!D4:I46""),6,0) &amp;"", ""&amp; TEXT(VLOOKUP(J33,IMPORTRANGE(""https://docs.google.com/spreadsheets/d/1Q"&amp;"fInhV6_YXjbJgeCXJ370Rz4ercnFoTR58xB4rzVAmY/edit?gid=1021743590#gid=1021743590"",""T11.2025!D4:I46""),5,0),""D/M/YYYY""))"),", 30/12/1899")</f>
        <v>, 30/12/1899</v>
      </c>
      <c r="Q33" s="33" t="str">
        <f>IFERROR(__xludf.DUMMYFUNCTION("VLOOKUP(J33,IMPORTRANGE(""https://docs.google.com/spreadsheets/d/1QfInhV6_YXjbJgeCXJ370Rz4ercnFoTR58xB4rzVAmY/edit?gid=1021743590#gid=1021743590"",""T11.2025!D4:G46""),4,0)"),"")</f>
        <v/>
      </c>
      <c r="R33" s="25"/>
      <c r="S33" s="35"/>
      <c r="T33" s="35" t="str">
        <f t="shared" si="3"/>
        <v>- TB về việc nộp tiền BHYT năm 2026
- TB cho SV nâng cao cảnh giác, đề phòng các đối tượng lừa đảo
- 
- Triển khai các nhóm SV Khởi nghiệp, NCKH</v>
      </c>
      <c r="U33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3" s="35"/>
      <c r="W33" s="13"/>
      <c r="X33" s="37"/>
      <c r="Y33" s="38" t="str">
        <f t="shared" si="5"/>
        <v>30/12/1899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IFERROR(__xludf.DUMMYFUNCTION("(VLOOKUP(J34,IMPORTRANGE(""https://docs.google.com/spreadsheets/d/1QfInhV6_YXjbJgeCXJ370Rz4ercnFoTR58xB4rzVAmY/edit?gid=1021743590#gid=1021743590"",""T11.2025!D4:I46""),6,0) &amp;"", ""&amp; TEXT(VLOOKUP(J34,IMPORTRANGE(""https://docs.google.com/spreadsheets/d/1Q"&amp;"fInhV6_YXjbJgeCXJ370Rz4ercnFoTR58xB4rzVAmY/edit?gid=1021743590#gid=1021743590"",""T11.2025!D4:I46""),5,0),""D/M/YYYY""))"),", 30/12/1899")</f>
        <v>, 30/12/1899</v>
      </c>
      <c r="Q34" s="33" t="str">
        <f>IFERROR(__xludf.DUMMYFUNCTION("VLOOKUP(J34,IMPORTRANGE(""https://docs.google.com/spreadsheets/d/1QfInhV6_YXjbJgeCXJ370Rz4ercnFoTR58xB4rzVAmY/edit?gid=1021743590#gid=1021743590"",""T11.2025!D4:G46""),4,0)"),"")</f>
        <v/>
      </c>
      <c r="R34" s="25"/>
      <c r="S34" s="35"/>
      <c r="T34" s="35" t="str">
        <f t="shared" si="3"/>
        <v>- TB về việc nộp tiền BHYT năm 2026
- TB cho SV nâng cao cảnh giác, đề phòng các đối tượng lừa đảo
- 
- Triển khai các nhóm SV Khởi nghiệp, NCKH</v>
      </c>
      <c r="U34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4" s="35"/>
      <c r="W34" s="13"/>
      <c r="X34" s="37"/>
      <c r="Y34" s="38" t="str">
        <f t="shared" si="5"/>
        <v>30/12/1899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IFERROR(__xludf.DUMMYFUNCTION("(VLOOKUP(J35,IMPORTRANGE(""https://docs.google.com/spreadsheets/d/1QfInhV6_YXjbJgeCXJ370Rz4ercnFoTR58xB4rzVAmY/edit?gid=1021743590#gid=1021743590"",""T11.2025!D4:I46""),6,0) &amp;"", ""&amp; TEXT(VLOOKUP(J35,IMPORTRANGE(""https://docs.google.com/spreadsheets/d/1Q"&amp;"fInhV6_YXjbJgeCXJ370Rz4ercnFoTR58xB4rzVAmY/edit?gid=1021743590#gid=1021743590"",""T11.2025!D4:I46""),5,0),""D/M/YYYY""))"),"8h00, 2/12/2025")</f>
        <v>8h00, 2/12/2025</v>
      </c>
      <c r="Q35" s="33" t="str">
        <f>IFERROR(__xludf.DUMMYFUNCTION("VLOOKUP(J35,IMPORTRANGE(""https://docs.google.com/spreadsheets/d/1QfInhV6_YXjbJgeCXJ370Rz4ercnFoTR58xB4rzVAmY/edit?gid=1021743590#gid=1021743590"",""T11.2025!D4:G46""),4,0)"),"ĐH302")</f>
        <v>ĐH302</v>
      </c>
      <c r="R35" s="25"/>
      <c r="S35" s="35"/>
      <c r="T35" s="35" t="str">
        <f t="shared" si="3"/>
        <v>- TB về việc nộp tiền BHYT năm 2026
- TB cho SV nâng cao cảnh giác, đề phòng các đối tượng lừa đảo
- 
- Triển khai các nhóm SV Khởi nghiệp, NCKH</v>
      </c>
      <c r="U35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5" s="35"/>
      <c r="W35" s="13"/>
      <c r="X35" s="37"/>
      <c r="Y35" s="38" t="str">
        <f t="shared" si="5"/>
        <v>2/12/2025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IFERROR(__xludf.DUMMYFUNCTION("(VLOOKUP(J36,IMPORTRANGE(""https://docs.google.com/spreadsheets/d/1QfInhV6_YXjbJgeCXJ370Rz4ercnFoTR58xB4rzVAmY/edit?gid=1021743590#gid=1021743590"",""T11.2025!D4:I46""),6,0) &amp;"", ""&amp; TEXT(VLOOKUP(J36,IMPORTRANGE(""https://docs.google.com/spreadsheets/d/1Q"&amp;"fInhV6_YXjbJgeCXJ370Rz4ercnFoTR58xB4rzVAmY/edit?gid=1021743590#gid=1021743590"",""T11.2025!D4:I46""),5,0),""D/M/YYYY""))"),", 30/12/1899")</f>
        <v>, 30/12/1899</v>
      </c>
      <c r="Q36" s="33" t="str">
        <f>IFERROR(__xludf.DUMMYFUNCTION("VLOOKUP(J36,IMPORTRANGE(""https://docs.google.com/spreadsheets/d/1QfInhV6_YXjbJgeCXJ370Rz4ercnFoTR58xB4rzVAmY/edit?gid=1021743590#gid=1021743590"",""T11.2025!D4:G46""),4,0)"),"")</f>
        <v/>
      </c>
      <c r="R36" s="25"/>
      <c r="S36" s="35"/>
      <c r="T36" s="35" t="str">
        <f t="shared" si="3"/>
        <v>- TB về việc nộp tiền BHYT năm 2026
- TB cho SV nâng cao cảnh giác, đề phòng các đối tượng lừa đảo
- 
- Triển khai các nhóm SV Khởi nghiệp, NCKH</v>
      </c>
      <c r="U36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6" s="35"/>
      <c r="W36" s="13"/>
      <c r="X36" s="37"/>
      <c r="Y36" s="38" t="str">
        <f t="shared" si="5"/>
        <v>30/12/1899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các hoạt động 
- 
- Các nhóm SV NCKH thực hiện theo tiến độ
- GVCN đôn đốc, nhắc nhở và liên hệ về gia đình SV nghỉ nhiều, nợ nhiều học phần
- ")</f>
        <v>- Triển khai các hoạt động 
- 
- Các nhóm SV NCKH thực hiện theo tiến độ
- GVCN đôn đốc, nhắc nhở và liên hệ về gia đình SV nghỉ nhiều, nợ nhiều học phần
- </v>
      </c>
      <c r="D37" s="24" t="s">
        <v>35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IFERROR(__xludf.DUMMYFUNCTION("(VLOOKUP(J37,IMPORTRANGE(""https://docs.google.com/spreadsheets/d/1QfInhV6_YXjbJgeCXJ370Rz4ercnFoTR58xB4rzVAmY/edit?gid=1021743590#gid=1021743590"",""T11.2025!D4:I46""),6,0) &amp;"", ""&amp; TEXT(VLOOKUP(J37,IMPORTRANGE(""https://docs.google.com/spreadsheets/d/1Q"&amp;"fInhV6_YXjbJgeCXJ370Rz4ercnFoTR58xB4rzVAmY/edit?gid=1021743590#gid=1021743590"",""T11.2025!D4:I46""),5,0),""D/M/YYYY""))"),"8h05, 26/11/2025")</f>
        <v>8h05, 26/11/2025</v>
      </c>
      <c r="Q37" s="33" t="str">
        <f>IFERROR(__xludf.DUMMYFUNCTION("VLOOKUP(J37,IMPORTRANGE(""https://docs.google.com/spreadsheets/d/1QfInhV6_YXjbJgeCXJ370Rz4ercnFoTR58xB4rzVAmY/edit?gid=1021743590#gid=1021743590"",""T11.2025!D4:G46""),4,0)"),"2DH505")</f>
        <v>2DH505</v>
      </c>
      <c r="R37" s="25"/>
      <c r="S37" s="45"/>
      <c r="T37" s="35" t="str">
        <f t="shared" si="3"/>
        <v>- TB về việc nộp tiền BHYT năm 2026
- TB cho SV nâng cao cảnh giác, đề phòng các đối tượng lừa đảo
- 
- Triển khai các nhóm SV Khởi nghiệp, NCKH</v>
      </c>
      <c r="U37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7" s="45" t="s">
        <v>150</v>
      </c>
      <c r="W37" s="70" t="s">
        <v>150</v>
      </c>
      <c r="X37" s="47" t="s">
        <v>151</v>
      </c>
      <c r="Y37" s="38" t="str">
        <f t="shared" si="5"/>
        <v>26/11/2025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")</f>
        <v>- Triển khai các hoạt động 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IFERROR(__xludf.DUMMYFUNCTION("(VLOOKUP(J38,IMPORTRANGE(""https://docs.google.com/spreadsheets/d/1QfInhV6_YXjbJgeCXJ370Rz4ercnFoTR58xB4rzVAmY/edit?gid=1021743590#gid=1021743590"",""T11.2025!D4:I46""),6,0) &amp;"", ""&amp; TEXT(VLOOKUP(J38,IMPORTRANGE(""https://docs.google.com/spreadsheets/d/1Q"&amp;"fInhV6_YXjbJgeCXJ370Rz4ercnFoTR58xB4rzVAmY/edit?gid=1021743590#gid=1021743590"",""T11.2025!D4:I46""),5,0),""D/M/YYYY""))"),"8h05, 28/11/2025")</f>
        <v>8h05, 28/11/2025</v>
      </c>
      <c r="Q38" s="33" t="str">
        <f>IFERROR(__xludf.DUMMYFUNCTION("VLOOKUP(J38,IMPORTRANGE(""https://docs.google.com/spreadsheets/d/1QfInhV6_YXjbJgeCXJ370Rz4ercnFoTR58xB4rzVAmY/edit?gid=1021743590#gid=1021743590"",""T11.2025!D4:G46""),4,0)"),"2DH311")</f>
        <v>2DH311</v>
      </c>
      <c r="R38" s="25"/>
      <c r="S38" s="45"/>
      <c r="T38" s="35" t="str">
        <f t="shared" si="3"/>
        <v>- TB về việc nộp tiền BHYT năm 2026
- TB cho SV nâng cao cảnh giác, đề phòng các đối tượng lừa đảo
- 
- Triển khai các nhóm SV Khởi nghiệp, NCKH</v>
      </c>
      <c r="U38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8" s="45" t="s">
        <v>150</v>
      </c>
      <c r="W38" s="70" t="s">
        <v>150</v>
      </c>
      <c r="X38" s="47" t="s">
        <v>151</v>
      </c>
      <c r="Y38" s="38" t="str">
        <f t="shared" si="5"/>
        <v>28/11/2025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các hoạt động 
- 
- Các nhóm SV NCKH thực hiện theo tiến độ
- GVCN đôn đốc, nhắc nhở và liên hệ về gia đình SV nghỉ nhiều, nợ nhiều học phần
- ")</f>
        <v>- Triển khai các hoạt động 
- 
- Các nhóm SV NCKH thực hiện theo tiến độ
- GVCN đôn đốc, nhắc nhở và liên hệ về gia đình SV nghỉ nhiều, nợ nhiều học phần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IFERROR(__xludf.DUMMYFUNCTION("(VLOOKUP(J39,IMPORTRANGE(""https://docs.google.com/spreadsheets/d/1QfInhV6_YXjbJgeCXJ370Rz4ercnFoTR58xB4rzVAmY/edit?gid=1021743590#gid=1021743590"",""T11.2025!D4:I46""),6,0) &amp;"", ""&amp; TEXT(VLOOKUP(J39,IMPORTRANGE(""https://docs.google.com/spreadsheets/d/1Q"&amp;"fInhV6_YXjbJgeCXJ370Rz4ercnFoTR58xB4rzVAmY/edit?gid=1021743590#gid=1021743590"",""T11.2025!D4:I46""),5,0),""D/M/YYYY""))"),"15h25, 25/11/2025")</f>
        <v>15h25, 25/11/2025</v>
      </c>
      <c r="Q39" s="33" t="str">
        <f>IFERROR(__xludf.DUMMYFUNCTION("VLOOKUP(J39,IMPORTRANGE(""https://docs.google.com/spreadsheets/d/1QfInhV6_YXjbJgeCXJ370Rz4ercnFoTR58xB4rzVAmY/edit?gid=1021743590#gid=1021743590"",""T11.2025!D4:G46""),4,0)"),"HD601A")</f>
        <v>HD601A</v>
      </c>
      <c r="R39" s="25"/>
      <c r="S39" s="35"/>
      <c r="T39" s="35" t="str">
        <f t="shared" si="3"/>
        <v>- TB về việc nộp tiền BHYT năm 2026
- TB cho SV nâng cao cảnh giác, đề phòng các đối tượng lừa đảo
- 
- Triển khai các nhóm SV Khởi nghiệp, NCKH</v>
      </c>
      <c r="U39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39" s="45" t="s">
        <v>150</v>
      </c>
      <c r="W39" s="70" t="s">
        <v>150</v>
      </c>
      <c r="X39" s="47" t="s">
        <v>156</v>
      </c>
      <c r="Y39" s="38" t="str">
        <f t="shared" si="5"/>
        <v>25/11/2025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các hoạt động 
- 
- Các nhóm SV NCKH thực hiện theo tiến độ
- GVCN đôn đốc, nhắc nhở và liên hệ về gia đình SV nghỉ nhiều, nợ nhiều học phần
- ")</f>
        <v>- Triển khai các hoạt động 
- 
- Các nhóm SV NCKH thực hiện theo tiến độ
- GVCN đôn đốc, nhắc nhở và liên hệ về gia đình SV nghỉ nhiều, nợ nhiều học phần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IFERROR(__xludf.DUMMYFUNCTION("(VLOOKUP(J40,IMPORTRANGE(""https://docs.google.com/spreadsheets/d/1QfInhV6_YXjbJgeCXJ370Rz4ercnFoTR58xB4rzVAmY/edit?gid=1021743590#gid=1021743590"",""T11.2025!D4:I46""),6,0) &amp;"", ""&amp; TEXT(VLOOKUP(J40,IMPORTRANGE(""https://docs.google.com/spreadsheets/d/1Q"&amp;"fInhV6_YXjbJgeCXJ370Rz4ercnFoTR58xB4rzVAmY/edit?gid=1021743590#gid=1021743590"",""T11.2025!D4:I46""),5,0),""D/M/YYYY""))"),"16h25, 26/11/2025")</f>
        <v>16h25, 26/11/2025</v>
      </c>
      <c r="Q40" s="33" t="str">
        <f>IFERROR(__xludf.DUMMYFUNCTION("VLOOKUP(J40,IMPORTRANGE(""https://docs.google.com/spreadsheets/d/1QfInhV6_YXjbJgeCXJ370Rz4ercnFoTR58xB4rzVAmY/edit?gid=1021743590#gid=1021743590"",""T11.2025!D4:G46""),4,0)"),"2DH506")</f>
        <v>2DH506</v>
      </c>
      <c r="R40" s="25"/>
      <c r="S40" s="45"/>
      <c r="T40" s="35" t="str">
        <f t="shared" si="3"/>
        <v>- TB về việc nộp tiền BHYT năm 2026
- TB cho SV nâng cao cảnh giác, đề phòng các đối tượng lừa đảo
- 
- Triển khai các nhóm SV Khởi nghiệp, NCKH</v>
      </c>
      <c r="U40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0" s="45" t="s">
        <v>150</v>
      </c>
      <c r="W40" s="70" t="s">
        <v>150</v>
      </c>
      <c r="X40" s="47" t="s">
        <v>151</v>
      </c>
      <c r="Y40" s="38" t="str">
        <f t="shared" si="5"/>
        <v>26/11/2025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IFERROR(__xludf.DUMMYFUNCTION("(VLOOKUP(J41,IMPORTRANGE(""https://docs.google.com/spreadsheets/d/1QfInhV6_YXjbJgeCXJ370Rz4ercnFoTR58xB4rzVAmY/edit?gid=1021743590#gid=1021743590"",""T11.2025!D4:I46""),6,0) &amp;"", ""&amp; TEXT(VLOOKUP(J41,IMPORTRANGE(""https://docs.google.com/spreadsheets/d/1Q"&amp;"fInhV6_YXjbJgeCXJ370Rz4ercnFoTR58xB4rzVAmY/edit?gid=1021743590#gid=1021743590"",""T11.2025!D4:I46""),5,0),""D/M/YYYY""))"),"11h00, 26/11/2025")</f>
        <v>11h00, 26/11/2025</v>
      </c>
      <c r="Q41" s="33" t="str">
        <f>IFERROR(__xludf.DUMMYFUNCTION("VLOOKUP(J41,IMPORTRANGE(""https://docs.google.com/spreadsheets/d/1QfInhV6_YXjbJgeCXJ370Rz4ercnFoTR58xB4rzVAmY/edit?gid=1021743590#gid=1021743590"",""T11.2025!D4:G46""),4,0)"),"ĐH206")</f>
        <v>ĐH206</v>
      </c>
      <c r="R41" s="25"/>
      <c r="S41" s="45" t="s">
        <v>226</v>
      </c>
      <c r="T41" s="35" t="str">
        <f t="shared" si="3"/>
        <v>- TB về việc nộp tiền BHYT năm 2026
- TB cho SV nâng cao cảnh giác, đề phòng các đối tượng lừa đảo
- 
- Triển khai các nhóm SV Khởi nghiệp, NCKH</v>
      </c>
      <c r="U41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1" s="35"/>
      <c r="W41" s="13"/>
      <c r="X41" s="47" t="s">
        <v>130</v>
      </c>
      <c r="Y41" s="38" t="str">
        <f t="shared" si="5"/>
        <v>26/11/2025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9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IFERROR(__xludf.DUMMYFUNCTION("(VLOOKUP(J42,IMPORTRANGE(""https://docs.google.com/spreadsheets/d/1QfInhV6_YXjbJgeCXJ370Rz4ercnFoTR58xB4rzVAmY/edit?gid=1021743590#gid=1021743590"",""T11.2025!D4:I46""),6,0) &amp;"", ""&amp; TEXT(VLOOKUP(J42,IMPORTRANGE(""https://docs.google.com/spreadsheets/d/1Q"&amp;"fInhV6_YXjbJgeCXJ370Rz4ercnFoTR58xB4rzVAmY/edit?gid=1021743590#gid=1021743590"",""T11.2025!D4:I46""),5,0),""D/M/YYYY""))"),"#N/A")</f>
        <v>#N/A</v>
      </c>
      <c r="Q42" s="33" t="str">
        <f>IFERROR(__xludf.DUMMYFUNCTION("VLOOKUP(J42,IMPORTRANGE(""https://docs.google.com/spreadsheets/d/1QfInhV6_YXjbJgeCXJ370Rz4ercnFoTR58xB4rzVAmY/edit?gid=1021743590#gid=1021743590"",""T11.2025!D4:G46""),4,0)"),"#N/A")</f>
        <v>#N/A</v>
      </c>
      <c r="R42" s="25"/>
      <c r="S42" s="35"/>
      <c r="T42" s="35" t="str">
        <f t="shared" si="3"/>
        <v>- TB về việc nộp tiền BHYT năm 2026
- TB cho SV nâng cao cảnh giác, đề phòng các đối tượng lừa đảo
- 
- Triển khai các nhóm SV Khởi nghiệp, NCKH</v>
      </c>
      <c r="U42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2" s="35"/>
      <c r="W42" s="13"/>
      <c r="X42" s="37"/>
      <c r="Y42" s="38" t="str">
        <f t="shared" si="5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IFERROR(__xludf.DUMMYFUNCTION("(VLOOKUP(J43,IMPORTRANGE(""https://docs.google.com/spreadsheets/d/1QfInhV6_YXjbJgeCXJ370Rz4ercnFoTR58xB4rzVAmY/edit?gid=1021743590#gid=1021743590"",""T11.2025!D4:I46""),6,0) &amp;"", ""&amp; TEXT(VLOOKUP(J43,IMPORTRANGE(""https://docs.google.com/spreadsheets/d/1Q"&amp;"fInhV6_YXjbJgeCXJ370Rz4ercnFoTR58xB4rzVAmY/edit?gid=1021743590#gid=1021743590"",""T11.2025!D4:I46""),5,0),""D/M/YYYY""))"),"16h20, 1/12/2025")</f>
        <v>16h20, 1/12/2025</v>
      </c>
      <c r="Q43" s="33" t="str">
        <f>IFERROR(__xludf.DUMMYFUNCTION("VLOOKUP(J43,IMPORTRANGE(""https://docs.google.com/spreadsheets/d/1QfInhV6_YXjbJgeCXJ370Rz4ercnFoTR58xB4rzVAmY/edit?gid=1021743590#gid=1021743590"",""T11.2025!D4:G46""),4,0)"),"DH304")</f>
        <v>DH304</v>
      </c>
      <c r="R43" s="25"/>
      <c r="S43" s="35"/>
      <c r="T43" s="35" t="str">
        <f t="shared" si="3"/>
        <v>- TB về việc nộp tiền BHYT năm 2026
- TB cho SV nâng cao cảnh giác, đề phòng các đối tượng lừa đảo
- 
- Triển khai các nhóm SV Khởi nghiệp, NCKH</v>
      </c>
      <c r="U43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3" s="35"/>
      <c r="W43" s="13"/>
      <c r="X43" s="37"/>
      <c r="Y43" s="38" t="str">
        <f t="shared" si="5"/>
        <v>1/12/2025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IFERROR(__xludf.DUMMYFUNCTION("(VLOOKUP(J44,IMPORTRANGE(""https://docs.google.com/spreadsheets/d/1QfInhV6_YXjbJgeCXJ370Rz4ercnFoTR58xB4rzVAmY/edit?gid=1021743590#gid=1021743590"",""T11.2025!D4:I46""),6,0) &amp;"", ""&amp; TEXT(VLOOKUP(J44,IMPORTRANGE(""https://docs.google.com/spreadsheets/d/1Q"&amp;"fInhV6_YXjbJgeCXJ370Rz4ercnFoTR58xB4rzVAmY/edit?gid=1021743590#gid=1021743590"",""T11.2025!D4:I46""),5,0),""D/M/YYYY""))"),"11h00, 1/12/2025")</f>
        <v>11h00, 1/12/2025</v>
      </c>
      <c r="Q44" s="33" t="str">
        <f>IFERROR(__xludf.DUMMYFUNCTION("VLOOKUP(J44,IMPORTRANGE(""https://docs.google.com/spreadsheets/d/1QfInhV6_YXjbJgeCXJ370Rz4ercnFoTR58xB4rzVAmY/edit?gid=1021743590#gid=1021743590"",""T11.2025!D4:G46""),4,0)"),"DH307")</f>
        <v>DH307</v>
      </c>
      <c r="R44" s="25"/>
      <c r="S44" s="35"/>
      <c r="T44" s="35" t="str">
        <f t="shared" si="3"/>
        <v>- TB về việc nộp tiền BHYT năm 2026
- TB cho SV nâng cao cảnh giác, đề phòng các đối tượng lừa đảo
- 
- Triển khai các nhóm SV Khởi nghiệp, NCKH</v>
      </c>
      <c r="U44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4" s="35"/>
      <c r="W44" s="13"/>
      <c r="X44" s="37"/>
      <c r="Y44" s="38" t="str">
        <f t="shared" si="5"/>
        <v>1/12/2025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IFERROR(__xludf.DUMMYFUNCTION("(VLOOKUP(J45,IMPORTRANGE(""https://docs.google.com/spreadsheets/d/1QfInhV6_YXjbJgeCXJ370Rz4ercnFoTR58xB4rzVAmY/edit?gid=1021743590#gid=1021743590"",""T11.2025!D4:I46""),6,0) &amp;"", ""&amp; TEXT(VLOOKUP(J45,IMPORTRANGE(""https://docs.google.com/spreadsheets/d/1Q"&amp;"fInhV6_YXjbJgeCXJ370Rz4ercnFoTR58xB4rzVAmY/edit?gid=1021743590#gid=1021743590"",""T11.2025!D4:I46""),5,0),""D/M/YYYY""))"),"#N/A")</f>
        <v>#N/A</v>
      </c>
      <c r="Q45" s="33" t="str">
        <f>IFERROR(__xludf.DUMMYFUNCTION("VLOOKUP(J45,IMPORTRANGE(""https://docs.google.com/spreadsheets/d/1QfInhV6_YXjbJgeCXJ370Rz4ercnFoTR58xB4rzVAmY/edit?gid=1021743590#gid=1021743590"",""T11.2025!D4:G46""),4,0)"),"#N/A")</f>
        <v>#N/A</v>
      </c>
      <c r="R45" s="25"/>
      <c r="S45" s="35"/>
      <c r="T45" s="35" t="str">
        <f t="shared" si="3"/>
        <v>- TB về việc nộp tiền BHYT năm 2026
- TB cho SV nâng cao cảnh giác, đề phòng các đối tượng lừa đảo
- 
- Triển khai các nhóm SV Khởi nghiệp, NCKH</v>
      </c>
      <c r="U45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5" s="35"/>
      <c r="W45" s="13"/>
      <c r="X45" s="37"/>
      <c r="Y45" s="38" t="str">
        <f t="shared" si="5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IFERROR(__xludf.DUMMYFUNCTION("(VLOOKUP(J46,IMPORTRANGE(""https://docs.google.com/spreadsheets/d/1QfInhV6_YXjbJgeCXJ370Rz4ercnFoTR58xB4rzVAmY/edit?gid=1021743590#gid=1021743590"",""T11.2025!D4:I46""),6,0) &amp;"", ""&amp; TEXT(VLOOKUP(J46,IMPORTRANGE(""https://docs.google.com/spreadsheets/d/1Q"&amp;"fInhV6_YXjbJgeCXJ370Rz4ercnFoTR58xB4rzVAmY/edit?gid=1021743590#gid=1021743590"",""T11.2025!D4:I46""),5,0),""D/M/YYYY""))"),"#N/A")</f>
        <v>#N/A</v>
      </c>
      <c r="Q46" s="33" t="str">
        <f>IFERROR(__xludf.DUMMYFUNCTION("VLOOKUP(J46,IMPORTRANGE(""https://docs.google.com/spreadsheets/d/1QfInhV6_YXjbJgeCXJ370Rz4ercnFoTR58xB4rzVAmY/edit?gid=1021743590#gid=1021743590"",""T11.2025!D4:G46""),4,0)"),"#N/A")</f>
        <v>#N/A</v>
      </c>
      <c r="R46" s="25"/>
      <c r="S46" s="35"/>
      <c r="T46" s="35" t="str">
        <f t="shared" si="3"/>
        <v>- TB về việc nộp tiền BHYT năm 2026
- TB cho SV nâng cao cảnh giác, đề phòng các đối tượng lừa đảo
- 
- Triển khai các nhóm SV Khởi nghiệp, NCKH</v>
      </c>
      <c r="U46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6" s="35"/>
      <c r="W46" s="13"/>
      <c r="X46" s="37"/>
      <c r="Y46" s="38" t="str">
        <f t="shared" si="5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IFERROR(__xludf.DUMMYFUNCTION("(VLOOKUP(J47,IMPORTRANGE(""https://docs.google.com/spreadsheets/d/1QfInhV6_YXjbJgeCXJ370Rz4ercnFoTR58xB4rzVAmY/edit?gid=1021743590#gid=1021743590"",""T11.2025!D4:I46""),6,0) &amp;"", ""&amp; TEXT(VLOOKUP(J47,IMPORTRANGE(""https://docs.google.com/spreadsheets/d/1Q"&amp;"fInhV6_YXjbJgeCXJ370Rz4ercnFoTR58xB4rzVAmY/edit?gid=1021743590#gid=1021743590"",""T11.2025!D4:I46""),5,0),""D/M/YYYY""))"),", 30/12/1899")</f>
        <v>, 30/12/1899</v>
      </c>
      <c r="Q47" s="33" t="str">
        <f>IFERROR(__xludf.DUMMYFUNCTION("VLOOKUP(J47,IMPORTRANGE(""https://docs.google.com/spreadsheets/d/1QfInhV6_YXjbJgeCXJ370Rz4ercnFoTR58xB4rzVAmY/edit?gid=1021743590#gid=1021743590"",""T11.2025!D4:G46""),4,0)"),"")</f>
        <v/>
      </c>
      <c r="R47" s="25"/>
      <c r="S47" s="45" t="s">
        <v>178</v>
      </c>
      <c r="T47" s="35" t="str">
        <f t="shared" si="3"/>
        <v>- TB về việc nộp tiền BHYT năm 2026
- TB cho SV nâng cao cảnh giác, đề phòng các đối tượng lừa đảo
- 
- Triển khai các nhóm SV Khởi nghiệp, NCKH</v>
      </c>
      <c r="U47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7" s="45" t="s">
        <v>179</v>
      </c>
      <c r="W47" s="26" t="s">
        <v>180</v>
      </c>
      <c r="X47" s="37"/>
      <c r="Y47" s="38" t="str">
        <f t="shared" si="5"/>
        <v>30/12/1899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IFERROR(__xludf.DUMMYFUNCTION("(VLOOKUP(J48,IMPORTRANGE(""https://docs.google.com/spreadsheets/d/1QfInhV6_YXjbJgeCXJ370Rz4ercnFoTR58xB4rzVAmY/edit?gid=1021743590#gid=1021743590"",""T11.2025!D4:I46""),6,0) &amp;"", ""&amp; TEXT(VLOOKUP(J48,IMPORTRANGE(""https://docs.google.com/spreadsheets/d/1Q"&amp;"fInhV6_YXjbJgeCXJ370Rz4ercnFoTR58xB4rzVAmY/edit?gid=1021743590#gid=1021743590"",""T11.2025!D4:I46""),5,0),""D/M/YYYY""))"),", 30/12/1899")</f>
        <v>, 30/12/1899</v>
      </c>
      <c r="Q48" s="33" t="str">
        <f>IFERROR(__xludf.DUMMYFUNCTION("VLOOKUP(J48,IMPORTRANGE(""https://docs.google.com/spreadsheets/d/1QfInhV6_YXjbJgeCXJ370Rz4ercnFoTR58xB4rzVAmY/edit?gid=1021743590#gid=1021743590"",""T11.2025!D4:G46""),4,0)"),"")</f>
        <v/>
      </c>
      <c r="R48" s="25"/>
      <c r="S48" s="45" t="s">
        <v>178</v>
      </c>
      <c r="T48" s="35" t="str">
        <f t="shared" si="3"/>
        <v>- TB về việc nộp tiền BHYT năm 2026
- TB cho SV nâng cao cảnh giác, đề phòng các đối tượng lừa đảo
- 
- Triển khai các nhóm SV Khởi nghiệp, NCKH</v>
      </c>
      <c r="U48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8" s="45" t="s">
        <v>179</v>
      </c>
      <c r="W48" s="26" t="s">
        <v>180</v>
      </c>
      <c r="X48" s="37"/>
      <c r="Y48" s="38" t="str">
        <f t="shared" si="5"/>
        <v>30/12/1899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IFERROR(__xludf.DUMMYFUNCTION("(VLOOKUP(J49,IMPORTRANGE(""https://docs.google.com/spreadsheets/d/1QfInhV6_YXjbJgeCXJ370Rz4ercnFoTR58xB4rzVAmY/edit?gid=1021743590#gid=1021743590"",""T11.2025!D4:I46""),6,0) &amp;"", ""&amp; TEXT(VLOOKUP(J49,IMPORTRANGE(""https://docs.google.com/spreadsheets/d/1Q"&amp;"fInhV6_YXjbJgeCXJ370Rz4ercnFoTR58xB4rzVAmY/edit?gid=1021743590#gid=1021743590"",""T11.2025!D4:I46""),5,0),""D/M/YYYY""))"),", 30/12/1899")</f>
        <v>, 30/12/1899</v>
      </c>
      <c r="Q49" s="33" t="str">
        <f>IFERROR(__xludf.DUMMYFUNCTION("VLOOKUP(J49,IMPORTRANGE(""https://docs.google.com/spreadsheets/d/1QfInhV6_YXjbJgeCXJ370Rz4ercnFoTR58xB4rzVAmY/edit?gid=1021743590#gid=1021743590"",""T11.2025!D4:G46""),4,0)"),"")</f>
        <v/>
      </c>
      <c r="R49" s="25"/>
      <c r="S49" s="45" t="s">
        <v>178</v>
      </c>
      <c r="T49" s="35" t="str">
        <f t="shared" si="3"/>
        <v>- TB về việc nộp tiền BHYT năm 2026
- TB cho SV nâng cao cảnh giác, đề phòng các đối tượng lừa đảo
- 
- Triển khai các nhóm SV Khởi nghiệp, NCKH</v>
      </c>
      <c r="U49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49" s="45" t="s">
        <v>179</v>
      </c>
      <c r="W49" s="26" t="s">
        <v>180</v>
      </c>
      <c r="X49" s="37"/>
      <c r="Y49" s="38" t="str">
        <f t="shared" si="5"/>
        <v>30/12/1899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IFERROR(__xludf.DUMMYFUNCTION("(VLOOKUP(J50,IMPORTRANGE(""https://docs.google.com/spreadsheets/d/1QfInhV6_YXjbJgeCXJ370Rz4ercnFoTR58xB4rzVAmY/edit?gid=1021743590#gid=1021743590"",""T11.2025!D4:I46""),6,0) &amp;"", ""&amp; TEXT(VLOOKUP(J50,IMPORTRANGE(""https://docs.google.com/spreadsheets/d/1Q"&amp;"fInhV6_YXjbJgeCXJ370Rz4ercnFoTR58xB4rzVAmY/edit?gid=1021743590#gid=1021743590"",""T11.2025!D4:I46""),5,0),""D/M/YYYY""))"),"10h00, 17/11/2025")</f>
        <v>10h00, 17/11/2025</v>
      </c>
      <c r="Q50" s="33" t="str">
        <f>IFERROR(__xludf.DUMMYFUNCTION("VLOOKUP(J50,IMPORTRANGE(""https://docs.google.com/spreadsheets/d/1QfInhV6_YXjbJgeCXJ370Rz4ercnFoTR58xB4rzVAmY/edit?gid=1021743590#gid=1021743590"",""T11.2025!D4:G46""),4,0)"),"HD301")</f>
        <v>HD301</v>
      </c>
      <c r="R50" s="25"/>
      <c r="S50" s="45" t="s">
        <v>178</v>
      </c>
      <c r="T50" s="35" t="str">
        <f t="shared" si="3"/>
        <v>- TB về việc nộp tiền BHYT năm 2026
- TB cho SV nâng cao cảnh giác, đề phòng các đối tượng lừa đảo
- 
- Triển khai các nhóm SV Khởi nghiệp, NCKH</v>
      </c>
      <c r="U50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50" s="45" t="s">
        <v>179</v>
      </c>
      <c r="W50" s="70" t="s">
        <v>179</v>
      </c>
      <c r="X50" s="37"/>
      <c r="Y50" s="38" t="str">
        <f t="shared" si="5"/>
        <v>17/11/2025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IFERROR(__xludf.DUMMYFUNCTION("(VLOOKUP(J51,IMPORTRANGE(""https://docs.google.com/spreadsheets/d/1QfInhV6_YXjbJgeCXJ370Rz4ercnFoTR58xB4rzVAmY/edit?gid=1021743590#gid=1021743590"",""T11.2025!D4:I46""),6,0) &amp;"", ""&amp; TEXT(VLOOKUP(J51,IMPORTRANGE(""https://docs.google.com/spreadsheets/d/1Q"&amp;"fInhV6_YXjbJgeCXJ370Rz4ercnFoTR58xB4rzVAmY/edit?gid=1021743590#gid=1021743590"",""T11.2025!D4:I46""),5,0),""D/M/YYYY""))"),"10h00, 13/11/2025")</f>
        <v>10h00, 13/11/2025</v>
      </c>
      <c r="Q51" s="33" t="str">
        <f>IFERROR(__xludf.DUMMYFUNCTION("VLOOKUP(J51,IMPORTRANGE(""https://docs.google.com/spreadsheets/d/1QfInhV6_YXjbJgeCXJ370Rz4ercnFoTR58xB4rzVAmY/edit?gid=1021743590#gid=1021743590"",""T11.2025!D4:G46""),4,0)"),"DH307")</f>
        <v>DH307</v>
      </c>
      <c r="R51" s="25"/>
      <c r="S51" s="45" t="s">
        <v>178</v>
      </c>
      <c r="T51" s="35" t="str">
        <f t="shared" si="3"/>
        <v>- TB về việc nộp tiền BHYT năm 2026
- TB cho SV nâng cao cảnh giác, đề phòng các đối tượng lừa đảo
- 
- Triển khai các nhóm SV Khởi nghiệp, NCKH</v>
      </c>
      <c r="U51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51" s="45" t="s">
        <v>179</v>
      </c>
      <c r="W51" s="26" t="s">
        <v>180</v>
      </c>
      <c r="X51" s="37"/>
      <c r="Y51" s="38" t="str">
        <f t="shared" si="5"/>
        <v>13/11/2025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IFERROR(__xludf.DUMMYFUNCTION("(VLOOKUP(J52,IMPORTRANGE(""https://docs.google.com/spreadsheets/d/1QfInhV6_YXjbJgeCXJ370Rz4ercnFoTR58xB4rzVAmY/edit?gid=1021743590#gid=1021743590"",""T11.2025!D4:I46""),6,0) &amp;"", ""&amp; TEXT(VLOOKUP(J52,IMPORTRANGE(""https://docs.google.com/spreadsheets/d/1Q"&amp;"fInhV6_YXjbJgeCXJ370Rz4ercnFoTR58xB4rzVAmY/edit?gid=1021743590#gid=1021743590"",""T11.2025!D4:I46""),5,0),""D/M/YYYY""))"),"17h10, 28/11/2025")</f>
        <v>17h10, 28/11/2025</v>
      </c>
      <c r="Q52" s="33" t="str">
        <f>IFERROR(__xludf.DUMMYFUNCTION("VLOOKUP(J52,IMPORTRANGE(""https://docs.google.com/spreadsheets/d/1QfInhV6_YXjbJgeCXJ370Rz4ercnFoTR58xB4rzVAmY/edit?gid=1021743590#gid=1021743590"",""T11.2025!D4:G46""),4,0)"),"ĐH206")</f>
        <v>ĐH206</v>
      </c>
      <c r="R52" s="25"/>
      <c r="S52" s="45" t="s">
        <v>227</v>
      </c>
      <c r="T52" s="35" t="str">
        <f t="shared" si="3"/>
        <v>- TB về việc nộp tiền BHYT năm 2026
- TB cho SV nâng cao cảnh giác, đề phòng các đối tượng lừa đảo
- 
- Triển khai các nhóm SV Khởi nghiệp, NCKH</v>
      </c>
      <c r="U52" s="43" t="str">
        <f t="shared" si="6"/>
        <v>- Triển khai các hoạt động 
- 
- Các nhóm SV NCKH thực hiện theo tiến độ
- GVCN đôn đốc, nhắc nhở và liên hệ về gia đình SV nghỉ nhiều, nợ nhiều học phần
- </v>
      </c>
      <c r="V52" s="35"/>
      <c r="W52" s="13"/>
      <c r="X52" s="37"/>
      <c r="Y52" s="38" t="str">
        <f t="shared" si="5"/>
        <v>28/11/2025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 t="str">
        <f>IFERROR(__xludf.DUMMYFUNCTION("(VLOOKUP(J53,IMPORTRANGE(""https://docs.google.com/spreadsheets/d/1QfInhV6_YXjbJgeCXJ370Rz4ercnFoTR58xB4rzVAmY/edit?gid=1021743590#gid=1021743590"",""T11.2025!D4:I46""),6,0) &amp;"", ""&amp; TEXT(VLOOKUP(J53,IMPORTRANGE(""https://docs.google.com/spreadsheets/d/1Q"&amp;"fInhV6_YXjbJgeCXJ370Rz4ercnFoTR58xB4rzVAmY/edit?gid=1021743590#gid=1021743590"",""T11.2025!D4:I46""),5,0),""D/M/YYYY""))"),"#N/A")</f>
        <v>#N/A</v>
      </c>
      <c r="Q53" s="33" t="str">
        <f>IFERROR(__xludf.DUMMYFUNCTION("VLOOKUP(J53,IMPORTRANGE(""https://docs.google.com/spreadsheets/d/1QfInhV6_YXjbJgeCXJ370Rz4ercnFoTR58xB4rzVAmY/edit?gid=1021743590#gid=1021743590"",""T11.2025!D4:G46""),4,0)"),"#N/A")</f>
        <v>#N/A</v>
      </c>
      <c r="R53" s="25"/>
      <c r="S53" s="35"/>
      <c r="T53" s="35"/>
      <c r="U53" s="43"/>
      <c r="V53" s="35"/>
      <c r="W53" s="13"/>
      <c r="X53" s="37"/>
      <c r="Y53" s="38" t="str">
        <f t="shared" si="5"/>
        <v>#N/A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/>
      <c r="Q54" s="33"/>
      <c r="R54" s="25"/>
      <c r="S54" s="45"/>
      <c r="T54" s="35"/>
      <c r="U54" s="43"/>
      <c r="V54" s="35"/>
      <c r="W54" s="13"/>
      <c r="X54" s="37"/>
      <c r="Y54" s="38" t="str">
        <f t="shared" si="5"/>
        <v>#VALUE!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/>
      <c r="Q55" s="33"/>
      <c r="R55" s="25"/>
      <c r="S55" s="35"/>
      <c r="T55" s="35"/>
      <c r="U55" s="43"/>
      <c r="V55" s="35"/>
      <c r="W55" s="13"/>
      <c r="X55" s="37"/>
      <c r="Y55" s="38" t="str">
        <f t="shared" si="5"/>
        <v>#VALUE!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InputMessage="1" showErrorMessage="1" prompt="Click and enter a value from the list of items" sqref="D8:D19 D26:D36">
      <formula1>"ALL,K23,K20,K21,K22"</formula1>
    </dataValidation>
    <dataValidation type="list" allowBlank="1" showErrorMessage="1" sqref="G8">
      <formula1>"1232"</formula1>
    </dataValidation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</hyperlinks>
  <printOptions/>
  <pageMargins bottom="0.31496062992125984" footer="0.0" header="0.0" left="0.4330708661417323" right="0.1968503937007874" top="0.31496062992125984"/>
  <pageSetup paperSize="9" orientation="portrait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71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10.0</v>
      </c>
      <c r="E6" s="5">
        <v>2025.0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19" t="s">
        <v>20</v>
      </c>
      <c r="Q7" s="94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228</v>
      </c>
      <c r="D8" s="24" t="s">
        <v>31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IFERROR(__xludf.DUMMYFUNCTION("(VLOOKUP(J8,IMPORTRANGE(""https://docs.google.com/spreadsheets/d/1QfInhV6_YXjbJgeCXJ370Rz4ercnFoTR58xB4rzVAmY/edit?gid=1021743590#gid=1021743590"",""T10.2025!D4:I46""),6,0) &amp;"", ""&amp; TEXT(VLOOKUP(J8,IMPORTRANGE(""https://docs.google.com/spreadsheets/d/1QfI"&amp;"nhV6_YXjbJgeCXJ370Rz4ercnFoTR58xB4rzVAmY/edit?gid=1021743590#gid=1021743590"",""T10.2025!D4:I46""),5,0),""D/M/YYYY""))"),"#N/A")</f>
        <v>#N/A</v>
      </c>
      <c r="Q8" s="33" t="str">
        <f>IFERROR(__xludf.DUMMYFUNCTION("VLOOKUP(J8,IMPORTRANGE(""https://docs.google.com/spreadsheets/d/1QfInhV6_YXjbJgeCXJ370Rz4ercnFoTR58xB4rzVAmY/edit?gid=1021743590#gid=1021743590"",""T10.2025!D4:G46""),4,0)"),"#N/A")</f>
        <v>#N/A</v>
      </c>
      <c r="R8" s="30">
        <v>3.0</v>
      </c>
      <c r="S8" s="34"/>
      <c r="T8" s="35" t="str">
        <f t="shared" ref="T8:T10" si="1">INDEX(C$20:C$23, MATCH(K8, D$20:D$23, 0))</f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8" s="36" t="s">
        <v>229</v>
      </c>
      <c r="V8" s="35"/>
      <c r="W8" s="13"/>
      <c r="X8" s="37"/>
      <c r="Y8" s="38" t="str">
        <f t="shared" ref="Y8:Y19" si="2">TRIM(MID(P8, FIND(",", P8) + 1, LEN(P8)))</f>
        <v>#N/A</v>
      </c>
      <c r="Z8" s="3"/>
      <c r="AA8" s="3"/>
      <c r="AB8" s="3"/>
    </row>
    <row r="9">
      <c r="A9" s="1"/>
      <c r="B9" s="39"/>
      <c r="C9" s="23" t="s">
        <v>230</v>
      </c>
      <c r="D9" s="24" t="s">
        <v>35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IFERROR(__xludf.DUMMYFUNCTION("(VLOOKUP(J9,IMPORTRANGE(""https://docs.google.com/spreadsheets/d/1QfInhV6_YXjbJgeCXJ370Rz4ercnFoTR58xB4rzVAmY/edit?gid=1021743590#gid=1021743590"",""T10.2025!D4:I46""),6,0) &amp;"", ""&amp; TEXT(VLOOKUP(J9,IMPORTRANGE(""https://docs.google.com/spreadsheets/d/1QfI"&amp;"nhV6_YXjbJgeCXJ370Rz4ercnFoTR58xB4rzVAmY/edit?gid=1021743590#gid=1021743590"",""T10.2025!D4:I46""),5,0),""D/M/YYYY""))"),"#N/A")</f>
        <v>#N/A</v>
      </c>
      <c r="Q9" s="33" t="str">
        <f>IFERROR(__xludf.DUMMYFUNCTION("VLOOKUP(J9,IMPORTRANGE(""https://docs.google.com/spreadsheets/d/1QfInhV6_YXjbJgeCXJ370Rz4ercnFoTR58xB4rzVAmY/edit?gid=1021743590#gid=1021743590"",""T10.2025!D4:G46""),4,0)"),"#N/A")</f>
        <v>#N/A</v>
      </c>
      <c r="R9" s="25"/>
      <c r="S9" s="35"/>
      <c r="T9" s="35" t="str">
        <f t="shared" si="1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9" s="36" t="s">
        <v>231</v>
      </c>
      <c r="V9" s="35"/>
      <c r="W9" s="13"/>
      <c r="X9" s="37"/>
      <c r="Y9" s="38" t="str">
        <f t="shared" si="2"/>
        <v>#N/A</v>
      </c>
      <c r="Z9" s="3"/>
      <c r="AA9" s="3"/>
      <c r="AB9" s="3"/>
    </row>
    <row r="10">
      <c r="A10" s="1"/>
      <c r="B10" s="39"/>
      <c r="C10" s="23" t="s">
        <v>232</v>
      </c>
      <c r="D10" s="24" t="s">
        <v>31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IFERROR(__xludf.DUMMYFUNCTION("(VLOOKUP(J10,IMPORTRANGE(""https://docs.google.com/spreadsheets/d/1QfInhV6_YXjbJgeCXJ370Rz4ercnFoTR58xB4rzVAmY/edit?gid=1021743590#gid=1021743590"",""T10.2025!D4:I46""),6,0) &amp;"", ""&amp; TEXT(VLOOKUP(J10,IMPORTRANGE(""https://docs.google.com/spreadsheets/d/1Q"&amp;"fInhV6_YXjbJgeCXJ370Rz4ercnFoTR58xB4rzVAmY/edit?gid=1021743590#gid=1021743590"",""T10.2025!D4:I46""),5,0),""D/M/YYYY""))"),"#N/A")</f>
        <v>#N/A</v>
      </c>
      <c r="Q10" s="33" t="str">
        <f>IFERROR(__xludf.DUMMYFUNCTION("VLOOKUP(J10,IMPORTRANGE(""https://docs.google.com/spreadsheets/d/1QfInhV6_YXjbJgeCXJ370Rz4ercnFoTR58xB4rzVAmY/edit?gid=1021743590#gid=1021743590"",""T10.2025!D4:G46""),4,0)"),"#N/A")</f>
        <v>#N/A</v>
      </c>
      <c r="R10" s="25"/>
      <c r="S10" s="35"/>
      <c r="T10" s="35" t="str">
        <f t="shared" si="1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0" s="43" t="str">
        <f t="array" ref="U10">INDEX(C$37:C$40, MATCH(K10, D$37:D$40, 0))</f>
        <v>- Triển khai các hoạt động kỷ niệm ngày 20/11
- 
- Các nhóm SV NCKH thực hiện theo tiến độ
- GVCN đôn đốc, nhắc nhở và liên hệ về gia đình SV nghỉ nhiều, nợ nhiều học phần
- </v>
      </c>
      <c r="V10" s="35"/>
      <c r="W10" s="13"/>
      <c r="X10" s="37"/>
      <c r="Y10" s="38" t="str">
        <f t="shared" si="2"/>
        <v>#N/A</v>
      </c>
      <c r="Z10" s="3"/>
      <c r="AA10" s="3"/>
      <c r="AB10" s="3"/>
    </row>
    <row r="11">
      <c r="A11" s="1"/>
      <c r="B11" s="39"/>
      <c r="C11" s="23" t="s">
        <v>221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53</v>
      </c>
      <c r="O11" s="44" t="s">
        <v>54</v>
      </c>
      <c r="P11" s="33" t="str">
        <f>IFERROR(__xludf.DUMMYFUNCTION("(VLOOKUP(J11,IMPORTRANGE(""https://docs.google.com/spreadsheets/d/1QfInhV6_YXjbJgeCXJ370Rz4ercnFoTR58xB4rzVAmY/edit?gid=1021743590#gid=1021743590"",""T10.2025!D4:I46""),6,0) &amp;"", ""&amp; TEXT(VLOOKUP(J11,IMPORTRANGE(""https://docs.google.com/spreadsheets/d/1Q"&amp;"fInhV6_YXjbJgeCXJ370Rz4ercnFoTR58xB4rzVAmY/edit?gid=1021743590#gid=1021743590"",""T10.2025!D4:I46""),5,0),""D/M/YYYY""))"),"#N/A")</f>
        <v>#N/A</v>
      </c>
      <c r="Q11" s="33" t="str">
        <f>IFERROR(__xludf.DUMMYFUNCTION("VLOOKUP(J11,IMPORTRANGE(""https://docs.google.com/spreadsheets/d/1QfInhV6_YXjbJgeCXJ370Rz4ercnFoTR58xB4rzVAmY/edit?gid=1021743590#gid=1021743590"",""T10.2025!D4:G46""),4,0)"),"#N/A")</f>
        <v>#N/A</v>
      </c>
      <c r="R11" s="30">
        <v>1.0</v>
      </c>
      <c r="S11" s="45" t="s">
        <v>233</v>
      </c>
      <c r="T11" s="45" t="s">
        <v>234</v>
      </c>
      <c r="U11" s="46" t="s">
        <v>235</v>
      </c>
      <c r="V11" s="45" t="s">
        <v>58</v>
      </c>
      <c r="W11" s="45" t="s">
        <v>58</v>
      </c>
      <c r="X11" s="47" t="s">
        <v>58</v>
      </c>
      <c r="Y11" s="38" t="str">
        <f t="shared" si="2"/>
        <v>#N/A</v>
      </c>
      <c r="Z11" s="3"/>
      <c r="AA11" s="3"/>
      <c r="AB11" s="3"/>
    </row>
    <row r="12">
      <c r="A12" s="1"/>
      <c r="B12" s="39"/>
      <c r="C12" s="23"/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IFERROR(__xludf.DUMMYFUNCTION("(VLOOKUP(J12,IMPORTRANGE(""https://docs.google.com/spreadsheets/d/1QfInhV6_YXjbJgeCXJ370Rz4ercnFoTR58xB4rzVAmY/edit?gid=1021743590#gid=1021743590"",""T10.2025!D4:I46""),6,0) &amp;"", ""&amp; TEXT(VLOOKUP(J12,IMPORTRANGE(""https://docs.google.com/spreadsheets/d/1Q"&amp;"fInhV6_YXjbJgeCXJ370Rz4ercnFoTR58xB4rzVAmY/edit?gid=1021743590#gid=1021743590"",""T10.2025!D4:I46""),5,0),""D/M/YYYY""))"),"#N/A")</f>
        <v>#N/A</v>
      </c>
      <c r="Q12" s="33" t="str">
        <f>IFERROR(__xludf.DUMMYFUNCTION("VLOOKUP(J12,IMPORTRANGE(""https://docs.google.com/spreadsheets/d/1QfInhV6_YXjbJgeCXJ370Rz4ercnFoTR58xB4rzVAmY/edit?gid=1021743590#gid=1021743590"",""T10.2025!D4:G46""),4,0)"),"#N/A")</f>
        <v>#N/A</v>
      </c>
      <c r="R12" s="25"/>
      <c r="T12" s="35" t="str">
        <f t="shared" ref="T12:T52" si="3">INDEX(C$20:C$23, MATCH(K12, D$20:D$23, 0))</f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2" s="43" t="str">
        <f t="shared" ref="U12:U27" si="4">INDEX(C$37:C$40, MATCH(K12, D$37:D$40, 0))</f>
        <v>- Triển khai các hoạt động kỷ niệm ngày 20/11
- 
- Các nhóm SV NCKH thực hiện theo tiến độ
- GVCN đôn đốc, nhắc nhở và liên hệ về gia đình SV nghỉ nhiều, nợ nhiều học phần
- </v>
      </c>
      <c r="V12" s="35"/>
      <c r="W12" s="13"/>
      <c r="X12" s="37"/>
      <c r="Y12" s="38" t="str">
        <f t="shared" si="2"/>
        <v>#N/A</v>
      </c>
      <c r="Z12" s="3"/>
      <c r="AA12" s="3"/>
      <c r="AB12" s="3"/>
    </row>
    <row r="13">
      <c r="A13" s="1"/>
      <c r="B13" s="48"/>
      <c r="C13" s="23"/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IFERROR(__xludf.DUMMYFUNCTION("(VLOOKUP(J13,IMPORTRANGE(""https://docs.google.com/spreadsheets/d/1QfInhV6_YXjbJgeCXJ370Rz4ercnFoTR58xB4rzVAmY/edit?gid=1021743590#gid=1021743590"",""T10.2025!D4:I46""),6,0) &amp;"", ""&amp; TEXT(VLOOKUP(J13,IMPORTRANGE(""https://docs.google.com/spreadsheets/d/1Q"&amp;"fInhV6_YXjbJgeCXJ370Rz4ercnFoTR58xB4rzVAmY/edit?gid=1021743590#gid=1021743590"",""T10.2025!D4:I46""),5,0),""D/M/YYYY""))"),"#N/A")</f>
        <v>#N/A</v>
      </c>
      <c r="Q13" s="33" t="str">
        <f>IFERROR(__xludf.DUMMYFUNCTION("VLOOKUP(J13,IMPORTRANGE(""https://docs.google.com/spreadsheets/d/1QfInhV6_YXjbJgeCXJ370Rz4ercnFoTR58xB4rzVAmY/edit?gid=1021743590#gid=1021743590"",""T10.2025!D4:G46""),4,0)"),"#N/A")</f>
        <v>#N/A</v>
      </c>
      <c r="R13" s="25"/>
      <c r="S13" s="35"/>
      <c r="T13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3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3" s="35"/>
      <c r="W13" s="13"/>
      <c r="X13" s="37"/>
      <c r="Y13" s="38" t="str">
        <f t="shared" si="2"/>
        <v>#N/A</v>
      </c>
      <c r="Z13" s="3"/>
      <c r="AA13" s="3"/>
      <c r="AB13" s="3"/>
    </row>
    <row r="14">
      <c r="A14" s="1"/>
      <c r="B14" s="51" t="s">
        <v>65</v>
      </c>
      <c r="C14" s="23" t="s">
        <v>66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IFERROR(__xludf.DUMMYFUNCTION("(VLOOKUP(J14,IMPORTRANGE(""https://docs.google.com/spreadsheets/d/1QfInhV6_YXjbJgeCXJ370Rz4ercnFoTR58xB4rzVAmY/edit?gid=1021743590#gid=1021743590"",""T10.2025!D4:I46""),6,0) &amp;"", ""&amp; TEXT(VLOOKUP(J14,IMPORTRANGE(""https://docs.google.com/spreadsheets/d/1Q"&amp;"fInhV6_YXjbJgeCXJ370Rz4ercnFoTR58xB4rzVAmY/edit?gid=1021743590#gid=1021743590"",""T10.2025!D4:I46""),5,0),""D/M/YYYY""))"),"#N/A")</f>
        <v>#N/A</v>
      </c>
      <c r="Q14" s="33" t="str">
        <f>IFERROR(__xludf.DUMMYFUNCTION("VLOOKUP(J14,IMPORTRANGE(""https://docs.google.com/spreadsheets/d/1QfInhV6_YXjbJgeCXJ370Rz4ercnFoTR58xB4rzVAmY/edit?gid=1021743590#gid=1021743590"",""T10.2025!D4:G46""),4,0)"),"#N/A")</f>
        <v>#N/A</v>
      </c>
      <c r="R14" s="25"/>
      <c r="S14" s="35"/>
      <c r="T14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4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4" s="35"/>
      <c r="W14" s="13"/>
      <c r="X14" s="37"/>
      <c r="Y14" s="38" t="str">
        <f t="shared" si="2"/>
        <v>#N/A</v>
      </c>
      <c r="Z14" s="3"/>
      <c r="AA14" s="3"/>
      <c r="AB14" s="3"/>
    </row>
    <row r="15">
      <c r="A15" s="1"/>
      <c r="B15" s="39"/>
      <c r="C15" s="23" t="s">
        <v>211</v>
      </c>
      <c r="D15" s="24" t="s">
        <v>69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IFERROR(__xludf.DUMMYFUNCTION("(VLOOKUP(J15,IMPORTRANGE(""https://docs.google.com/spreadsheets/d/1QfInhV6_YXjbJgeCXJ370Rz4ercnFoTR58xB4rzVAmY/edit?gid=1021743590#gid=1021743590"",""T10.2025!D4:I46""),6,0) &amp;"", ""&amp; TEXT(VLOOKUP(J15,IMPORTRANGE(""https://docs.google.com/spreadsheets/d/1Q"&amp;"fInhV6_YXjbJgeCXJ370Rz4ercnFoTR58xB4rzVAmY/edit?gid=1021743590#gid=1021743590"",""T10.2025!D4:I46""),5,0),""D/M/YYYY""))"),"#N/A")</f>
        <v>#N/A</v>
      </c>
      <c r="Q15" s="33" t="str">
        <f>IFERROR(__xludf.DUMMYFUNCTION("VLOOKUP(J15,IMPORTRANGE(""https://docs.google.com/spreadsheets/d/1QfInhV6_YXjbJgeCXJ370Rz4ercnFoTR58xB4rzVAmY/edit?gid=1021743590#gid=1021743590"",""T10.2025!D4:G46""),4,0)"),"#N/A")</f>
        <v>#N/A</v>
      </c>
      <c r="R15" s="25"/>
      <c r="S15" s="35"/>
      <c r="T15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5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5" s="35"/>
      <c r="W15" s="13"/>
      <c r="X15" s="37"/>
      <c r="Y15" s="38" t="str">
        <f t="shared" si="2"/>
        <v>#N/A</v>
      </c>
      <c r="Z15" s="3"/>
      <c r="AA15" s="3"/>
      <c r="AB15" s="3"/>
    </row>
    <row r="16">
      <c r="A16" s="1"/>
      <c r="B16" s="39"/>
      <c r="D16" s="24"/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IFERROR(__xludf.DUMMYFUNCTION("(VLOOKUP(J16,IMPORTRANGE(""https://docs.google.com/spreadsheets/d/1QfInhV6_YXjbJgeCXJ370Rz4ercnFoTR58xB4rzVAmY/edit?gid=1021743590#gid=1021743590"",""T10.2025!D4:I46""),6,0) &amp;"", ""&amp; TEXT(VLOOKUP(J16,IMPORTRANGE(""https://docs.google.com/spreadsheets/d/1Q"&amp;"fInhV6_YXjbJgeCXJ370Rz4ercnFoTR58xB4rzVAmY/edit?gid=1021743590#gid=1021743590"",""T10.2025!D4:I46""),5,0),""D/M/YYYY""))"),"#N/A")</f>
        <v>#N/A</v>
      </c>
      <c r="Q16" s="33" t="str">
        <f>IFERROR(__xludf.DUMMYFUNCTION("VLOOKUP(J16,IMPORTRANGE(""https://docs.google.com/spreadsheets/d/1QfInhV6_YXjbJgeCXJ370Rz4ercnFoTR58xB4rzVAmY/edit?gid=1021743590#gid=1021743590"",""T10.2025!D4:G46""),4,0)"),"#N/A")</f>
        <v>#N/A</v>
      </c>
      <c r="R16" s="25"/>
      <c r="S16" s="35"/>
      <c r="T16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6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6" s="35"/>
      <c r="W16" s="13"/>
      <c r="X16" s="37"/>
      <c r="Y16" s="38" t="str">
        <f t="shared" si="2"/>
        <v>#N/A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IFERROR(__xludf.DUMMYFUNCTION("(VLOOKUP(J17,IMPORTRANGE(""https://docs.google.com/spreadsheets/d/1QfInhV6_YXjbJgeCXJ370Rz4ercnFoTR58xB4rzVAmY/edit?gid=1021743590#gid=1021743590"",""T10.2025!D4:I46""),6,0) &amp;"", ""&amp; TEXT(VLOOKUP(J17,IMPORTRANGE(""https://docs.google.com/spreadsheets/d/1Q"&amp;"fInhV6_YXjbJgeCXJ370Rz4ercnFoTR58xB4rzVAmY/edit?gid=1021743590#gid=1021743590"",""T10.2025!D4:I46""),5,0),""D/M/YYYY""))"),"#N/A")</f>
        <v>#N/A</v>
      </c>
      <c r="Q17" s="33" t="str">
        <f>IFERROR(__xludf.DUMMYFUNCTION("VLOOKUP(J17,IMPORTRANGE(""https://docs.google.com/spreadsheets/d/1QfInhV6_YXjbJgeCXJ370Rz4ercnFoTR58xB4rzVAmY/edit?gid=1021743590#gid=1021743590"",""T10.2025!D4:G46""),4,0)"),"#N/A")</f>
        <v>#N/A</v>
      </c>
      <c r="R17" s="25"/>
      <c r="S17" s="35"/>
      <c r="T17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7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7" s="35"/>
      <c r="W17" s="13"/>
      <c r="X17" s="37"/>
      <c r="Y17" s="38" t="str">
        <f t="shared" si="2"/>
        <v>#N/A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6">
        <v>23.0</v>
      </c>
      <c r="N18" s="42" t="s">
        <v>79</v>
      </c>
      <c r="O18" s="42"/>
      <c r="P18" s="33" t="str">
        <f>IFERROR(__xludf.DUMMYFUNCTION("(VLOOKUP(J18,IMPORTRANGE(""https://docs.google.com/spreadsheets/d/1QfInhV6_YXjbJgeCXJ370Rz4ercnFoTR58xB4rzVAmY/edit?gid=1021743590#gid=1021743590"",""T10.2025!D4:I46""),6,0) &amp;"", ""&amp; TEXT(VLOOKUP(J18,IMPORTRANGE(""https://docs.google.com/spreadsheets/d/1Q"&amp;"fInhV6_YXjbJgeCXJ370Rz4ercnFoTR58xB4rzVAmY/edit?gid=1021743590#gid=1021743590"",""T10.2025!D4:I46""),5,0),""D/M/YYYY""))"),"16h30, 23/10/2025")</f>
        <v>16h30, 23/10/2025</v>
      </c>
      <c r="Q18" s="33" t="str">
        <f>IFERROR(__xludf.DUMMYFUNCTION("VLOOKUP(J18,IMPORTRANGE(""https://docs.google.com/spreadsheets/d/1QfInhV6_YXjbJgeCXJ370Rz4ercnFoTR58xB4rzVAmY/edit?gid=1021743590#gid=1021743590"",""T10.2025!D4:G46""),4,0)"),"ĐH205")</f>
        <v>ĐH205</v>
      </c>
      <c r="R18" s="25"/>
      <c r="S18" s="45" t="s">
        <v>236</v>
      </c>
      <c r="T18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8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8" s="35"/>
      <c r="W18" s="13"/>
      <c r="X18" s="37"/>
      <c r="Y18" s="38" t="str">
        <f t="shared" si="2"/>
        <v>23/10/2025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57" t="s">
        <v>81</v>
      </c>
      <c r="K19" s="5" t="s">
        <v>35</v>
      </c>
      <c r="L19" s="30" t="s">
        <v>78</v>
      </c>
      <c r="M19" s="56">
        <v>74.0</v>
      </c>
      <c r="N19" s="42" t="s">
        <v>82</v>
      </c>
      <c r="O19" s="42"/>
      <c r="P19" s="33" t="str">
        <f>IFERROR(__xludf.DUMMYFUNCTION("(VLOOKUP(J19,IMPORTRANGE(""https://docs.google.com/spreadsheets/d/1QfInhV6_YXjbJgeCXJ370Rz4ercnFoTR58xB4rzVAmY/edit?gid=1021743590#gid=1021743590"",""T10.2025!D4:I46""),6,0) &amp;"", ""&amp; TEXT(VLOOKUP(J19,IMPORTRANGE(""https://docs.google.com/spreadsheets/d/1Q"&amp;"fInhV6_YXjbJgeCXJ370Rz4ercnFoTR58xB4rzVAmY/edit?gid=1021743590#gid=1021743590"",""T10.2025!D4:I46""),5,0),""D/M/YYYY""))"),"16h30, 24/10/2025")</f>
        <v>16h30, 24/10/2025</v>
      </c>
      <c r="Q19" s="33" t="str">
        <f>IFERROR(__xludf.DUMMYFUNCTION("VLOOKUP(J19,IMPORTRANGE(""https://docs.google.com/spreadsheets/d/1QfInhV6_YXjbJgeCXJ370Rz4ercnFoTR58xB4rzVAmY/edit?gid=1021743590#gid=1021743590"",""T10.2025!D4:G46""),4,0)"),"ĐH506")</f>
        <v>ĐH506</v>
      </c>
      <c r="R19" s="25"/>
      <c r="S19" s="45" t="s">
        <v>237</v>
      </c>
      <c r="T19" s="35" t="str">
        <f t="shared" si="3"/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U19" s="43" t="str">
        <f t="shared" si="4"/>
        <v>- Triển khai các hoạt động kỷ niệm ngày 20/11
- 
- Các nhóm SV NCKH thực hiện theo tiến độ
- GVCN đôn đốc, nhắc nhở và liên hệ về gia đình SV nghỉ nhiều, nợ nhiều học phần
- </v>
      </c>
      <c r="V19" s="35"/>
      <c r="W19" s="13"/>
      <c r="X19" s="37"/>
      <c r="Y19" s="38" t="str">
        <f t="shared" si="2"/>
        <v>24/10/2025</v>
      </c>
      <c r="Z19" s="3"/>
      <c r="AA19" s="3"/>
      <c r="AB19" s="3"/>
    </row>
    <row r="20" ht="118.5" customHeight="1">
      <c r="A20" s="1"/>
      <c r="B20" s="51" t="s">
        <v>84</v>
      </c>
      <c r="C20" s="58" t="str">
        <f>IFERROR(__xludf.DUMMYFUNCTION("JOIN(CHAR(10), FILTER(""- "" &amp; C$8:C$19, (D$8:D$19 = ""ALL"") + (D$8:D$19 = D20)))"),"-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nhóm"&amp;" SV Khởi nghiệp, NCKH")</f>
        <v>- Thông báo xét chọn học bổng Brother năm học 2025 - 2026
- TB rà soát thông tin SV nghỉ học dài ngày đối với K23
- TB đăng ký thi đua tập thể và cá nhân năm học 25-26
- TB cho SV nâng cao cảnh giác, đề phòng các đối tượng lừa đảo
- 
- Triển khai các nhóm SV Khởi nghiệp, NCKH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IFERROR(__xludf.DUMMYFUNCTION("(VLOOKUP(J20,IMPORTRANGE(""https://docs.google.com/spreadsheets/d/1QfInhV6_YXjbJgeCXJ370Rz4ercnFoTR58xB4rzVAmY/edit?gid=1021743590#gid=1021743590"",""T10.2025!D4:I46""),6,0) &amp;"", ""&amp; TEXT(VLOOKUP(J20,IMPORTRANGE(""https://docs.google.com/spreadsheets/d/1Q"&amp;"fInhV6_YXjbJgeCXJ370Rz4ercnFoTR58xB4rzVAmY/edit?gid=1021743590#gid=1021743590"",""T10.2025!D4:I46""),5,0),""D/M/YYYY""))"),", 30/12/1899")</f>
        <v>, 30/12/1899</v>
      </c>
      <c r="Q20" s="33" t="str">
        <f>IFERROR(__xludf.DUMMYFUNCTION("VLOOKUP(J20,IMPORTRANGE(""https://docs.google.com/spreadsheets/d/1QfInhV6_YXjbJgeCXJ370Rz4ercnFoTR58xB4rzVAmY/edit?gid=1021743590#gid=1021743590"",""T10.2025!D4:G46""),4,0)"),"")</f>
        <v/>
      </c>
      <c r="R20" s="25"/>
      <c r="S20" s="35"/>
      <c r="T20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0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DN")</f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IFERROR(__xludf.DUMMYFUNCTION("(VLOOKUP(J21,IMPORTRANGE(""https://docs.google.com/spreadsheets/d/1QfInhV6_YXjbJgeCXJ370Rz4ercnFoTR58xB4rzVAmY/edit?gid=1021743590#gid=1021743590"",""T10.2025!D4:I46""),6,0) &amp;"", ""&amp; TEXT(VLOOKUP(J21,IMPORTRANGE(""https://docs.google.com/spreadsheets/d/1Q"&amp;"fInhV6_YXjbJgeCXJ370Rz4ercnFoTR58xB4rzVAmY/edit?gid=1021743590#gid=1021743590"",""T10.2025!D4:I46""),5,0),""D/M/YYYY""))"),", 30/12/1899")</f>
        <v>, 30/12/1899</v>
      </c>
      <c r="Q21" s="33" t="str">
        <f>IFERROR(__xludf.DUMMYFUNCTION("VLOOKUP(J21,IMPORTRANGE(""https://docs.google.com/spreadsheets/d/1QfInhV6_YXjbJgeCXJ370Rz4ercnFoTR58xB4rzVAmY/edit?gid=1021743590#gid=1021743590"",""T10.2025!D4:G46""),4,0)"),"")</f>
        <v/>
      </c>
      <c r="R21" s="25"/>
      <c r="S21" s="35"/>
      <c r="T21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1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Thông báo xét chọn học bổng Brother năm học 2025 - 2026
- TB đăng ký thi đua tập thể và cá nhân năm học 25-26
- TB cho SV nâng cao cảnh giác, đề phòng các đối tượng lừa đảo
- 
- Triển khai các nhóm SV Khởi nghiệp, NCKH")</f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IFERROR(__xludf.DUMMYFUNCTION("(VLOOKUP(J22,IMPORTRANGE(""https://docs.google.com/spreadsheets/d/1QfInhV6_YXjbJgeCXJ370Rz4ercnFoTR58xB4rzVAmY/edit?gid=1021743590#gid=1021743590"",""T10.2025!D4:I46""),6,0) &amp;"", ""&amp; TEXT(VLOOKUP(J22,IMPORTRANGE(""https://docs.google.com/spreadsheets/d/1Q"&amp;"fInhV6_YXjbJgeCXJ370Rz4ercnFoTR58xB4rzVAmY/edit?gid=1021743590#gid=1021743590"",""T10.2025!D4:I46""),5,0),""D/M/YYYY""))"),"11h00, 4/11/2025")</f>
        <v>11h00, 4/11/2025</v>
      </c>
      <c r="Q22" s="33" t="str">
        <f>IFERROR(__xludf.DUMMYFUNCTION("VLOOKUP(J22,IMPORTRANGE(""https://docs.google.com/spreadsheets/d/1QfInhV6_YXjbJgeCXJ370Rz4ercnFoTR58xB4rzVAmY/edit?gid=1021743590#gid=1021743590"",""T10.2025!D4:G46""),4,0)"),"DH303")</f>
        <v>DH303</v>
      </c>
      <c r="R22" s="25"/>
      <c r="S22" s="35"/>
      <c r="T22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2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Thông báo xét chọn học bổng Brother năm học 2025 - 2026
- TB đăng ký thi đua tập thể và cá nhân năm học 25-26
- TB cho SV nâng cao cảnh giác, đề phòng các đối tượng lừa đảo
- 
- Triển khai các nhóm SV Khởi nghiệp, NCKH")</f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IFERROR(__xludf.DUMMYFUNCTION("(VLOOKUP(J23,IMPORTRANGE(""https://docs.google.com/spreadsheets/d/1QfInhV6_YXjbJgeCXJ370Rz4ercnFoTR58xB4rzVAmY/edit?gid=1021743590#gid=1021743590"",""T10.2025!D4:I46""),6,0) &amp;"", ""&amp; TEXT(VLOOKUP(J23,IMPORTRANGE(""https://docs.google.com/spreadsheets/d/1Q"&amp;"fInhV6_YXjbJgeCXJ370Rz4ercnFoTR58xB4rzVAmY/edit?gid=1021743590#gid=1021743590"",""T10.2025!D4:I46""),5,0),""D/M/YYYY""))"),", 30/12/1899")</f>
        <v>, 30/12/1899</v>
      </c>
      <c r="Q23" s="33" t="str">
        <f>IFERROR(__xludf.DUMMYFUNCTION("VLOOKUP(J23,IMPORTRANGE(""https://docs.google.com/spreadsheets/d/1QfInhV6_YXjbJgeCXJ370Rz4ercnFoTR58xB4rzVAmY/edit?gid=1021743590#gid=1021743590"",""T10.2025!D4:G46""),4,0)"),"")</f>
        <v/>
      </c>
      <c r="R23" s="25"/>
      <c r="S23" s="35"/>
      <c r="T23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3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3" s="35"/>
      <c r="W23" s="13"/>
      <c r="X23" s="37"/>
      <c r="Y23" s="38" t="str">
        <f t="shared" ref="Y23:Y55" si="5">TRIM(MID(P23, FIND(",", P23) + 1, LEN(P23)))</f>
        <v>30/12/1899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IFERROR(__xludf.DUMMYFUNCTION("(VLOOKUP(J24,IMPORTRANGE(""https://docs.google.com/spreadsheets/d/1QfInhV6_YXjbJgeCXJ370Rz4ercnFoTR58xB4rzVAmY/edit?gid=1021743590#gid=1021743590"",""T10.2025!D4:I46""),6,0) &amp;"", ""&amp; TEXT(VLOOKUP(J24,IMPORTRANGE(""https://docs.google.com/spreadsheets/d/1Q"&amp;"fInhV6_YXjbJgeCXJ370Rz4ercnFoTR58xB4rzVAmY/edit?gid=1021743590#gid=1021743590"",""T10.2025!D4:I46""),5,0),""D/M/YYYY""))"),"8h30, 4/11/2025")</f>
        <v>8h30, 4/11/2025</v>
      </c>
      <c r="Q24" s="33" t="str">
        <f>IFERROR(__xludf.DUMMYFUNCTION("VLOOKUP(J24,IMPORTRANGE(""https://docs.google.com/spreadsheets/d/1QfInhV6_YXjbJgeCXJ370Rz4ercnFoTR58xB4rzVAmY/edit?gid=1021743590#gid=1021743590"",""T10.2025!D4:G46""),4,0)"),"DH302")</f>
        <v>DH302</v>
      </c>
      <c r="R24" s="25"/>
      <c r="S24" s="35"/>
      <c r="T24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4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4" s="35"/>
      <c r="W24" s="13"/>
      <c r="X24" s="37"/>
      <c r="Y24" s="38" t="str">
        <f t="shared" si="5"/>
        <v>4/11/2025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IFERROR(__xludf.DUMMYFUNCTION("(VLOOKUP(J25,IMPORTRANGE(""https://docs.google.com/spreadsheets/d/1QfInhV6_YXjbJgeCXJ370Rz4ercnFoTR58xB4rzVAmY/edit?gid=1021743590#gid=1021743590"",""T10.2025!D4:I46""),6,0) &amp;"", ""&amp; TEXT(VLOOKUP(J25,IMPORTRANGE(""https://docs.google.com/spreadsheets/d/1Q"&amp;"fInhV6_YXjbJgeCXJ370Rz4ercnFoTR58xB4rzVAmY/edit?gid=1021743590#gid=1021743590"",""T10.2025!D4:I46""),5,0),""D/M/YYYY""))"),"11h00, 28/10/2025")</f>
        <v>11h00, 28/10/2025</v>
      </c>
      <c r="Q25" s="33" t="str">
        <f>IFERROR(__xludf.DUMMYFUNCTION("VLOOKUP(J25,IMPORTRANGE(""https://docs.google.com/spreadsheets/d/1QfInhV6_YXjbJgeCXJ370Rz4ercnFoTR58xB4rzVAmY/edit?gid=1021743590#gid=1021743590"",""T10.2025!D4:G46""),4,0)"),"DH205")</f>
        <v>DH205</v>
      </c>
      <c r="R25" s="25"/>
      <c r="S25" s="35"/>
      <c r="T25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5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5" s="35"/>
      <c r="W25" s="13"/>
      <c r="X25" s="37"/>
      <c r="Y25" s="38" t="str">
        <f t="shared" si="5"/>
        <v>28/10/2025</v>
      </c>
      <c r="Z25" s="3"/>
      <c r="AA25" s="3"/>
      <c r="AB25" s="3"/>
    </row>
    <row r="26">
      <c r="A26" s="65"/>
      <c r="B26" s="22"/>
      <c r="C26" s="23" t="s">
        <v>224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IFERROR(__xludf.DUMMYFUNCTION("(VLOOKUP(J26,IMPORTRANGE(""https://docs.google.com/spreadsheets/d/1QfInhV6_YXjbJgeCXJ370Rz4ercnFoTR58xB4rzVAmY/edit?gid=1021743590#gid=1021743590"",""T10.2025!D4:I46""),6,0) &amp;"", ""&amp; TEXT(VLOOKUP(J26,IMPORTRANGE(""https://docs.google.com/spreadsheets/d/1Q"&amp;"fInhV6_YXjbJgeCXJ370Rz4ercnFoTR58xB4rzVAmY/edit?gid=1021743590#gid=1021743590"",""T10.2025!D4:I46""),5,0),""D/M/YYYY""))"),", 30/12/1899")</f>
        <v>, 30/12/1899</v>
      </c>
      <c r="Q26" s="33" t="str">
        <f>IFERROR(__xludf.DUMMYFUNCTION("VLOOKUP(J26,IMPORTRANGE(""https://docs.google.com/spreadsheets/d/1QfInhV6_YXjbJgeCXJ370Rz4ercnFoTR58xB4rzVAmY/edit?gid=1021743590#gid=1021743590"",""T10.2025!D4:G46""),4,0)"),"")</f>
        <v/>
      </c>
      <c r="R26" s="25"/>
      <c r="S26" s="35"/>
      <c r="T26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6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6" s="35"/>
      <c r="W26" s="13"/>
      <c r="X26" s="37"/>
      <c r="Y26" s="38" t="str">
        <f t="shared" si="5"/>
        <v>30/12/1899</v>
      </c>
      <c r="Z26" s="3"/>
      <c r="AA26" s="3"/>
      <c r="AB26" s="3"/>
    </row>
    <row r="27">
      <c r="A27" s="65"/>
      <c r="B27" s="39"/>
      <c r="C27" s="23"/>
      <c r="D27" s="24" t="s">
        <v>31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IFERROR(__xludf.DUMMYFUNCTION("(VLOOKUP(J27,IMPORTRANGE(""https://docs.google.com/spreadsheets/d/1QfInhV6_YXjbJgeCXJ370Rz4ercnFoTR58xB4rzVAmY/edit?gid=1021743590#gid=1021743590"",""T10.2025!D4:I46""),6,0) &amp;"", ""&amp; TEXT(VLOOKUP(J27,IMPORTRANGE(""https://docs.google.com/spreadsheets/d/1Q"&amp;"fInhV6_YXjbJgeCXJ370Rz4ercnFoTR58xB4rzVAmY/edit?gid=1021743590#gid=1021743590"",""T10.2025!D4:I46""),5,0),""D/M/YYYY""))"),", 30/12/1899")</f>
        <v>, 30/12/1899</v>
      </c>
      <c r="Q27" s="33" t="str">
        <f>IFERROR(__xludf.DUMMYFUNCTION("VLOOKUP(J27,IMPORTRANGE(""https://docs.google.com/spreadsheets/d/1QfInhV6_YXjbJgeCXJ370Rz4ercnFoTR58xB4rzVAmY/edit?gid=1021743590#gid=1021743590"",""T10.2025!D4:G46""),4,0)"),"")</f>
        <v/>
      </c>
      <c r="R27" s="25"/>
      <c r="S27" s="45" t="s">
        <v>117</v>
      </c>
      <c r="T27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7" s="43" t="str">
        <f t="shared" si="4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7" s="35"/>
      <c r="W27" s="13"/>
      <c r="X27" s="37"/>
      <c r="Y27" s="38" t="str">
        <f t="shared" si="5"/>
        <v>30/12/1899</v>
      </c>
      <c r="Z27" s="3"/>
      <c r="AA27" s="3"/>
      <c r="AB27" s="3"/>
    </row>
    <row r="28">
      <c r="A28" s="65"/>
      <c r="B28" s="39"/>
      <c r="C28" s="23" t="s">
        <v>224</v>
      </c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IFERROR(__xludf.DUMMYFUNCTION("(VLOOKUP(J28,IMPORTRANGE(""https://docs.google.com/spreadsheets/d/1QfInhV6_YXjbJgeCXJ370Rz4ercnFoTR58xB4rzVAmY/edit?gid=1021743590#gid=1021743590"",""T10.2025!D4:I46""),6,0) &amp;"", ""&amp; TEXT(VLOOKUP(J28,IMPORTRANGE(""https://docs.google.com/spreadsheets/d/1Q"&amp;"fInhV6_YXjbJgeCXJ370Rz4ercnFoTR58xB4rzVAmY/edit?gid=1021743590#gid=1021743590"",""T10.2025!D4:I46""),5,0),""D/M/YYYY""))"),", 27/10/2025")</f>
        <v>, 27/10/2025</v>
      </c>
      <c r="Q28" s="33" t="str">
        <f>IFERROR(__xludf.DUMMYFUNCTION("VLOOKUP(J28,IMPORTRANGE(""https://docs.google.com/spreadsheets/d/1QfInhV6_YXjbJgeCXJ370Rz4ercnFoTR58xB4rzVAmY/edit?gid=1021743590#gid=1021743590"",""T10.2025!D4:G46""),4,0)"),"HD502")</f>
        <v>HD502</v>
      </c>
      <c r="R28" s="25"/>
      <c r="S28" s="45" t="s">
        <v>238</v>
      </c>
      <c r="T28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8" s="69" t="s">
        <v>123</v>
      </c>
      <c r="V28" s="45" t="s">
        <v>58</v>
      </c>
      <c r="W28" s="70" t="s">
        <v>58</v>
      </c>
      <c r="X28" s="47" t="s">
        <v>58</v>
      </c>
      <c r="Y28" s="38" t="str">
        <f t="shared" si="5"/>
        <v>27/10/2025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IFERROR(__xludf.DUMMYFUNCTION("(VLOOKUP(J29,IMPORTRANGE(""https://docs.google.com/spreadsheets/d/1QfInhV6_YXjbJgeCXJ370Rz4ercnFoTR58xB4rzVAmY/edit?gid=1021743590#gid=1021743590"",""T10.2025!D4:I46""),6,0) &amp;"", ""&amp; TEXT(VLOOKUP(J29,IMPORTRANGE(""https://docs.google.com/spreadsheets/d/1Q"&amp;"fInhV6_YXjbJgeCXJ370Rz4ercnFoTR58xB4rzVAmY/edit?gid=1021743590#gid=1021743590"",""T10.2025!D4:I46""),5,0),""D/M/YYYY""))"),", 30/12/1899")</f>
        <v>, 30/12/1899</v>
      </c>
      <c r="Q29" s="33" t="str">
        <f>IFERROR(__xludf.DUMMYFUNCTION("VLOOKUP(J29,IMPORTRANGE(""https://docs.google.com/spreadsheets/d/1QfInhV6_YXjbJgeCXJ370Rz4ercnFoTR58xB4rzVAmY/edit?gid=1021743590#gid=1021743590"",""T10.2025!D4:G46""),4,0)"),"")</f>
        <v/>
      </c>
      <c r="R29" s="25"/>
      <c r="S29" s="35"/>
      <c r="T29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29" s="43" t="str">
        <f t="shared" ref="U29:U52" si="6">INDEX(C$37:C$40, MATCH(K29, D$37:D$40, 0))</f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29" s="35"/>
      <c r="W29" s="13"/>
      <c r="X29" s="37"/>
      <c r="Y29" s="38" t="str">
        <f t="shared" si="5"/>
        <v>30/12/1899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IFERROR(__xludf.DUMMYFUNCTION("(VLOOKUP(J30,IMPORTRANGE(""https://docs.google.com/spreadsheets/d/1QfInhV6_YXjbJgeCXJ370Rz4ercnFoTR58xB4rzVAmY/edit?gid=1021743590#gid=1021743590"",""T10.2025!D4:I46""),6,0) &amp;"", ""&amp; TEXT(VLOOKUP(J30,IMPORTRANGE(""https://docs.google.com/spreadsheets/d/1Q"&amp;"fInhV6_YXjbJgeCXJ370Rz4ercnFoTR58xB4rzVAmY/edit?gid=1021743590#gid=1021743590"",""T10.2025!D4:I46""),5,0),""D/M/YYYY""))"),"17h00, 21/10/2025")</f>
        <v>17h00, 21/10/2025</v>
      </c>
      <c r="Q30" s="33" t="str">
        <f>IFERROR(__xludf.DUMMYFUNCTION("VLOOKUP(J30,IMPORTRANGE(""https://docs.google.com/spreadsheets/d/1QfInhV6_YXjbJgeCXJ370Rz4ercnFoTR58xB4rzVAmY/edit?gid=1021743590#gid=1021743590"",""T10.2025!D4:G46""),4,0)"),"ĐH205")</f>
        <v>ĐH205</v>
      </c>
      <c r="R30" s="25"/>
      <c r="S30" s="45" t="s">
        <v>239</v>
      </c>
      <c r="T30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30" s="43" t="str">
        <f t="shared" si="6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0" s="35"/>
      <c r="W30" s="13"/>
      <c r="X30" s="47" t="s">
        <v>130</v>
      </c>
      <c r="Y30" s="38" t="str">
        <f t="shared" si="5"/>
        <v>21/10/2025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IFERROR(__xludf.DUMMYFUNCTION("(VLOOKUP(J31,IMPORTRANGE(""https://docs.google.com/spreadsheets/d/1QfInhV6_YXjbJgeCXJ370Rz4ercnFoTR58xB4rzVAmY/edit?gid=1021743590#gid=1021743590"",""T10.2025!D4:I46""),6,0) &amp;"", ""&amp; TEXT(VLOOKUP(J31,IMPORTRANGE(""https://docs.google.com/spreadsheets/d/1Q"&amp;"fInhV6_YXjbJgeCXJ370Rz4ercnFoTR58xB4rzVAmY/edit?gid=1021743590#gid=1021743590"",""T10.2025!D4:I46""),5,0),""D/M/YYYY""))"),"#N/A")</f>
        <v>#N/A</v>
      </c>
      <c r="Q31" s="33" t="str">
        <f>IFERROR(__xludf.DUMMYFUNCTION("VLOOKUP(J31,IMPORTRANGE(""https://docs.google.com/spreadsheets/d/1QfInhV6_YXjbJgeCXJ370Rz4ercnFoTR58xB4rzVAmY/edit?gid=1021743590#gid=1021743590"",""T10.2025!D4:G46""),4,0)"),"#N/A")</f>
        <v>#N/A</v>
      </c>
      <c r="R31" s="25"/>
      <c r="S31" s="35"/>
      <c r="T31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
- Triển khai SV K20 thực tập DN</v>
      </c>
      <c r="U31" s="43" t="str">
        <f t="shared" si="6"/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V31" s="35"/>
      <c r="W31" s="13"/>
      <c r="X31" s="37"/>
      <c r="Y31" s="38" t="str">
        <f t="shared" si="5"/>
        <v>#N/A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IFERROR(__xludf.DUMMYFUNCTION("(VLOOKUP(J32,IMPORTRANGE(""https://docs.google.com/spreadsheets/d/1QfInhV6_YXjbJgeCXJ370Rz4ercnFoTR58xB4rzVAmY/edit?gid=1021743590#gid=1021743590"",""T10.2025!D4:I46""),6,0) &amp;"", ""&amp; TEXT(VLOOKUP(J32,IMPORTRANGE(""https://docs.google.com/spreadsheets/d/1Q"&amp;"fInhV6_YXjbJgeCXJ370Rz4ercnFoTR58xB4rzVAmY/edit?gid=1021743590#gid=1021743590"",""T10.2025!D4:I46""),5,0),""D/M/YYYY""))"),", 30/12/1899")</f>
        <v>, 30/12/1899</v>
      </c>
      <c r="Q32" s="33" t="str">
        <f>IFERROR(__xludf.DUMMYFUNCTION("VLOOKUP(J32,IMPORTRANGE(""https://docs.google.com/spreadsheets/d/1QfInhV6_YXjbJgeCXJ370Rz4ercnFoTR58xB4rzVAmY/edit?gid=1021743590#gid=1021743590"",""T10.2025!D4:G46""),4,0)"),"")</f>
        <v/>
      </c>
      <c r="R32" s="25"/>
      <c r="S32" s="35"/>
      <c r="T32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2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2" s="35"/>
      <c r="W32" s="13"/>
      <c r="X32" s="37"/>
      <c r="Y32" s="38" t="str">
        <f t="shared" si="5"/>
        <v>30/12/1899</v>
      </c>
      <c r="Z32" s="3"/>
      <c r="AA32" s="3"/>
      <c r="AB32" s="3"/>
    </row>
    <row r="33">
      <c r="A33" s="65"/>
      <c r="B33" s="39"/>
      <c r="C33" s="23" t="s">
        <v>138</v>
      </c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IFERROR(__xludf.DUMMYFUNCTION("(VLOOKUP(J33,IMPORTRANGE(""https://docs.google.com/spreadsheets/d/1QfInhV6_YXjbJgeCXJ370Rz4ercnFoTR58xB4rzVAmY/edit?gid=1021743590#gid=1021743590"",""T10.2025!D4:I46""),6,0) &amp;"", ""&amp; TEXT(VLOOKUP(J33,IMPORTRANGE(""https://docs.google.com/spreadsheets/d/1Q"&amp;"fInhV6_YXjbJgeCXJ370Rz4ercnFoTR58xB4rzVAmY/edit?gid=1021743590#gid=1021743590"",""T10.2025!D4:I46""),5,0),""D/M/YYYY""))"),", 30/12/1899")</f>
        <v>, 30/12/1899</v>
      </c>
      <c r="Q33" s="33" t="str">
        <f>IFERROR(__xludf.DUMMYFUNCTION("VLOOKUP(J33,IMPORTRANGE(""https://docs.google.com/spreadsheets/d/1QfInhV6_YXjbJgeCXJ370Rz4ercnFoTR58xB4rzVAmY/edit?gid=1021743590#gid=1021743590"",""T10.2025!D4:G46""),4,0)"),"")</f>
        <v/>
      </c>
      <c r="R33" s="25"/>
      <c r="S33" s="35"/>
      <c r="T33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3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3" s="35"/>
      <c r="W33" s="13"/>
      <c r="X33" s="37"/>
      <c r="Y33" s="38" t="str">
        <f t="shared" si="5"/>
        <v>30/12/1899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IFERROR(__xludf.DUMMYFUNCTION("(VLOOKUP(J34,IMPORTRANGE(""https://docs.google.com/spreadsheets/d/1QfInhV6_YXjbJgeCXJ370Rz4ercnFoTR58xB4rzVAmY/edit?gid=1021743590#gid=1021743590"",""T10.2025!D4:I46""),6,0) &amp;"", ""&amp; TEXT(VLOOKUP(J34,IMPORTRANGE(""https://docs.google.com/spreadsheets/d/1Q"&amp;"fInhV6_YXjbJgeCXJ370Rz4ercnFoTR58xB4rzVAmY/edit?gid=1021743590#gid=1021743590"",""T10.2025!D4:I46""),5,0),""D/M/YYYY""))"),", 30/12/1899")</f>
        <v>, 30/12/1899</v>
      </c>
      <c r="Q34" s="33" t="str">
        <f>IFERROR(__xludf.DUMMYFUNCTION("VLOOKUP(J34,IMPORTRANGE(""https://docs.google.com/spreadsheets/d/1QfInhV6_YXjbJgeCXJ370Rz4ercnFoTR58xB4rzVAmY/edit?gid=1021743590#gid=1021743590"",""T10.2025!D4:G46""),4,0)"),"")</f>
        <v/>
      </c>
      <c r="R34" s="25"/>
      <c r="S34" s="35"/>
      <c r="T34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4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4" s="35"/>
      <c r="W34" s="13"/>
      <c r="X34" s="37"/>
      <c r="Y34" s="38" t="str">
        <f t="shared" si="5"/>
        <v>30/12/1899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IFERROR(__xludf.DUMMYFUNCTION("(VLOOKUP(J35,IMPORTRANGE(""https://docs.google.com/spreadsheets/d/1QfInhV6_YXjbJgeCXJ370Rz4ercnFoTR58xB4rzVAmY/edit?gid=1021743590#gid=1021743590"",""T10.2025!D4:I46""),6,0) &amp;"", ""&amp; TEXT(VLOOKUP(J35,IMPORTRANGE(""https://docs.google.com/spreadsheets/d/1Q"&amp;"fInhV6_YXjbJgeCXJ370Rz4ercnFoTR58xB4rzVAmY/edit?gid=1021743590#gid=1021743590"",""T10.2025!D4:I46""),5,0),""D/M/YYYY""))"),"9h30, 4/11/2025")</f>
        <v>9h30, 4/11/2025</v>
      </c>
      <c r="Q35" s="33" t="str">
        <f>IFERROR(__xludf.DUMMYFUNCTION("VLOOKUP(J35,IMPORTRANGE(""https://docs.google.com/spreadsheets/d/1QfInhV6_YXjbJgeCXJ370Rz4ercnFoTR58xB4rzVAmY/edit?gid=1021743590#gid=1021743590"",""T10.2025!D4:G46""),4,0)"),"DH302")</f>
        <v>DH302</v>
      </c>
      <c r="R35" s="25"/>
      <c r="S35" s="35"/>
      <c r="T35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5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5" s="35"/>
      <c r="W35" s="13"/>
      <c r="X35" s="37"/>
      <c r="Y35" s="38" t="str">
        <f t="shared" si="5"/>
        <v>4/11/2025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IFERROR(__xludf.DUMMYFUNCTION("(VLOOKUP(J36,IMPORTRANGE(""https://docs.google.com/spreadsheets/d/1QfInhV6_YXjbJgeCXJ370Rz4ercnFoTR58xB4rzVAmY/edit?gid=1021743590#gid=1021743590"",""T10.2025!D4:I46""),6,0) &amp;"", ""&amp; TEXT(VLOOKUP(J36,IMPORTRANGE(""https://docs.google.com/spreadsheets/d/1Q"&amp;"fInhV6_YXjbJgeCXJ370Rz4ercnFoTR58xB4rzVAmY/edit?gid=1021743590#gid=1021743590"",""T10.2025!D4:I46""),5,0),""D/M/YYYY""))"),", 30/12/1899")</f>
        <v>, 30/12/1899</v>
      </c>
      <c r="Q36" s="33" t="str">
        <f>IFERROR(__xludf.DUMMYFUNCTION("VLOOKUP(J36,IMPORTRANGE(""https://docs.google.com/spreadsheets/d/1QfInhV6_YXjbJgeCXJ370Rz4ercnFoTR58xB4rzVAmY/edit?gid=1021743590#gid=1021743590"",""T10.2025!D4:G46""),4,0)"),"")</f>
        <v/>
      </c>
      <c r="R36" s="25"/>
      <c r="S36" s="35"/>
      <c r="T36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6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6" s="35"/>
      <c r="W36" s="13"/>
      <c r="X36" s="37"/>
      <c r="Y36" s="38" t="str">
        <f t="shared" si="5"/>
        <v>30/12/1899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các hoạt động kỷ niệm ngày 20/11
- 
- Các nhóm SV NCKH thực hiện theo tiến độ
- GVCN đôn đốc, nhắc nhở và liên hệ về gia đình SV nghỉ nhiều, nợ nhiều học phần
- ")</f>
        <v>- Triển khai các hoạt động kỷ niệm ngày 20/11
- 
- Các nhóm SV NCKH thực hiện theo tiến độ
- GVCN đôn đốc, nhắc nhở và liên hệ về gia đình SV nghỉ nhiều, nợ nhiều học phần
- </v>
      </c>
      <c r="D37" s="24" t="s">
        <v>35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IFERROR(__xludf.DUMMYFUNCTION("(VLOOKUP(J37,IMPORTRANGE(""https://docs.google.com/spreadsheets/d/1QfInhV6_YXjbJgeCXJ370Rz4ercnFoTR58xB4rzVAmY/edit?gid=1021743590#gid=1021743590"",""T10.2025!D4:I46""),6,0) &amp;"", ""&amp; TEXT(VLOOKUP(J37,IMPORTRANGE(""https://docs.google.com/spreadsheets/d/1Q"&amp;"fInhV6_YXjbJgeCXJ370Rz4ercnFoTR58xB4rzVAmY/edit?gid=1021743590#gid=1021743590"",""T10.2025!D4:I46""),5,0),""D/M/YYYY""))"),", 30/12/1899")</f>
        <v>, 30/12/1899</v>
      </c>
      <c r="Q37" s="33" t="str">
        <f>IFERROR(__xludf.DUMMYFUNCTION("VLOOKUP(J37,IMPORTRANGE(""https://docs.google.com/spreadsheets/d/1QfInhV6_YXjbJgeCXJ370Rz4ercnFoTR58xB4rzVAmY/edit?gid=1021743590#gid=1021743590"",""T10.2025!D4:G46""),4,0)"),"")</f>
        <v/>
      </c>
      <c r="R37" s="25"/>
      <c r="S37" s="45"/>
      <c r="T37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7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7" s="45" t="s">
        <v>150</v>
      </c>
      <c r="W37" s="70" t="s">
        <v>150</v>
      </c>
      <c r="X37" s="47" t="s">
        <v>151</v>
      </c>
      <c r="Y37" s="38" t="str">
        <f t="shared" si="5"/>
        <v>30/12/1899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")</f>
        <v>- Triển khai các hoạt động kỷ niệm ngày 20/11
- 
- 
- Các nhóm SV NCKH thực hiện theo tiến độ
- Nhắc nhở SV trả nợ học phần, đặc biệt K20 để đảm bảo điều kiện xét TN
- GVCN đôn đốc, nhắc nhở và liên hệ về gia đình SV nghỉ nhiều, nợ nhiều học phần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IFERROR(__xludf.DUMMYFUNCTION("(VLOOKUP(J38,IMPORTRANGE(""https://docs.google.com/spreadsheets/d/1QfInhV6_YXjbJgeCXJ370Rz4ercnFoTR58xB4rzVAmY/edit?gid=1021743590#gid=1021743590"",""T10.2025!D4:I46""),6,0) &amp;"", ""&amp; TEXT(VLOOKUP(J38,IMPORTRANGE(""https://docs.google.com/spreadsheets/d/1Q"&amp;"fInhV6_YXjbJgeCXJ370Rz4ercnFoTR58xB4rzVAmY/edit?gid=1021743590#gid=1021743590"",""T10.2025!D4:I46""),5,0),""D/M/YYYY""))"),", 30/12/1899")</f>
        <v>, 30/12/1899</v>
      </c>
      <c r="Q38" s="33" t="str">
        <f>IFERROR(__xludf.DUMMYFUNCTION("VLOOKUP(J38,IMPORTRANGE(""https://docs.google.com/spreadsheets/d/1QfInhV6_YXjbJgeCXJ370Rz4ercnFoTR58xB4rzVAmY/edit?gid=1021743590#gid=1021743590"",""T10.2025!D4:G46""),4,0)"),"")</f>
        <v/>
      </c>
      <c r="R38" s="25"/>
      <c r="S38" s="45"/>
      <c r="T38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8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8" s="45" t="s">
        <v>150</v>
      </c>
      <c r="W38" s="70" t="s">
        <v>150</v>
      </c>
      <c r="X38" s="47" t="s">
        <v>151</v>
      </c>
      <c r="Y38" s="38" t="str">
        <f t="shared" si="5"/>
        <v>30/12/1899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các hoạt động kỷ niệm ngày 20/11
- 
- Các nhóm SV NCKH thực hiện theo tiến độ
- GVCN đôn đốc, nhắc nhở và liên hệ về gia đình SV nghỉ nhiều, nợ nhiều học phần
- ")</f>
        <v>- Triển khai các hoạt động kỷ niệm ngày 20/11
- 
- Các nhóm SV NCKH thực hiện theo tiến độ
- GVCN đôn đốc, nhắc nhở và liên hệ về gia đình SV nghỉ nhiều, nợ nhiều học phần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IFERROR(__xludf.DUMMYFUNCTION("(VLOOKUP(J39,IMPORTRANGE(""https://docs.google.com/spreadsheets/d/1QfInhV6_YXjbJgeCXJ370Rz4ercnFoTR58xB4rzVAmY/edit?gid=1021743590#gid=1021743590"",""T10.2025!D4:I46""),6,0) &amp;"", ""&amp; TEXT(VLOOKUP(J39,IMPORTRANGE(""https://docs.google.com/spreadsheets/d/1Q"&amp;"fInhV6_YXjbJgeCXJ370Rz4ercnFoTR58xB4rzVAmY/edit?gid=1021743590#gid=1021743590"",""T10.2025!D4:I46""),5,0),""D/M/YYYY""))"),", 30/12/1899")</f>
        <v>, 30/12/1899</v>
      </c>
      <c r="Q39" s="33" t="str">
        <f>IFERROR(__xludf.DUMMYFUNCTION("VLOOKUP(J39,IMPORTRANGE(""https://docs.google.com/spreadsheets/d/1QfInhV6_YXjbJgeCXJ370Rz4ercnFoTR58xB4rzVAmY/edit?gid=1021743590#gid=1021743590"",""T10.2025!D4:G46""),4,0)"),"")</f>
        <v/>
      </c>
      <c r="R39" s="25"/>
      <c r="S39" s="35"/>
      <c r="T39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39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39" s="45" t="s">
        <v>150</v>
      </c>
      <c r="W39" s="70" t="s">
        <v>150</v>
      </c>
      <c r="X39" s="47" t="s">
        <v>156</v>
      </c>
      <c r="Y39" s="38" t="str">
        <f t="shared" si="5"/>
        <v>30/12/1899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các hoạt động kỷ niệm ngày 20/11
- 
- Các nhóm SV NCKH thực hiện theo tiến độ
- GVCN đôn đốc, nhắc nhở và liên hệ về gia đình SV nghỉ nhiều, nợ nhiều học phần
- ")</f>
        <v>- Triển khai các hoạt động kỷ niệm ngày 20/11
- 
- Các nhóm SV NCKH thực hiện theo tiến độ
- GVCN đôn đốc, nhắc nhở và liên hệ về gia đình SV nghỉ nhiều, nợ nhiều học phần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IFERROR(__xludf.DUMMYFUNCTION("(VLOOKUP(J40,IMPORTRANGE(""https://docs.google.com/spreadsheets/d/1QfInhV6_YXjbJgeCXJ370Rz4ercnFoTR58xB4rzVAmY/edit?gid=1021743590#gid=1021743590"",""T10.2025!D4:I46""),6,0) &amp;"", ""&amp; TEXT(VLOOKUP(J40,IMPORTRANGE(""https://docs.google.com/spreadsheets/d/1Q"&amp;"fInhV6_YXjbJgeCXJ370Rz4ercnFoTR58xB4rzVAmY/edit?gid=1021743590#gid=1021743590"",""T10.2025!D4:I46""),5,0),""D/M/YYYY""))"),", 30/12/1899")</f>
        <v>, 30/12/1899</v>
      </c>
      <c r="Q40" s="33" t="str">
        <f>IFERROR(__xludf.DUMMYFUNCTION("VLOOKUP(J40,IMPORTRANGE(""https://docs.google.com/spreadsheets/d/1QfInhV6_YXjbJgeCXJ370Rz4ercnFoTR58xB4rzVAmY/edit?gid=1021743590#gid=1021743590"",""T10.2025!D4:G46""),4,0)"),"")</f>
        <v/>
      </c>
      <c r="R40" s="25"/>
      <c r="S40" s="45"/>
      <c r="T40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0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0" s="45" t="s">
        <v>150</v>
      </c>
      <c r="W40" s="70" t="s">
        <v>150</v>
      </c>
      <c r="X40" s="47" t="s">
        <v>151</v>
      </c>
      <c r="Y40" s="38" t="str">
        <f t="shared" si="5"/>
        <v>30/12/1899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IFERROR(__xludf.DUMMYFUNCTION("(VLOOKUP(J41,IMPORTRANGE(""https://docs.google.com/spreadsheets/d/1QfInhV6_YXjbJgeCXJ370Rz4ercnFoTR58xB4rzVAmY/edit?gid=1021743590#gid=1021743590"",""T10.2025!D4:I46""),6,0) &amp;"", ""&amp; TEXT(VLOOKUP(J41,IMPORTRANGE(""https://docs.google.com/spreadsheets/d/1Q"&amp;"fInhV6_YXjbJgeCXJ370Rz4ercnFoTR58xB4rzVAmY/edit?gid=1021743590#gid=1021743590"",""T10.2025!D4:I46""),5,0),""D/M/YYYY""))"),"11h00, 22/10/2025")</f>
        <v>11h00, 22/10/2025</v>
      </c>
      <c r="Q41" s="33" t="str">
        <f>IFERROR(__xludf.DUMMYFUNCTION("VLOOKUP(J41,IMPORTRANGE(""https://docs.google.com/spreadsheets/d/1QfInhV6_YXjbJgeCXJ370Rz4ercnFoTR58xB4rzVAmY/edit?gid=1021743590#gid=1021743590"",""T10.2025!D4:G46""),4,0)"),"ĐH517")</f>
        <v>ĐH517</v>
      </c>
      <c r="R41" s="25"/>
      <c r="S41" s="45" t="s">
        <v>240</v>
      </c>
      <c r="T41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1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1" s="35"/>
      <c r="W41" s="13"/>
      <c r="X41" s="47" t="s">
        <v>130</v>
      </c>
      <c r="Y41" s="38" t="str">
        <f t="shared" si="5"/>
        <v>22/10/2025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9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IFERROR(__xludf.DUMMYFUNCTION("(VLOOKUP(J42,IMPORTRANGE(""https://docs.google.com/spreadsheets/d/1QfInhV6_YXjbJgeCXJ370Rz4ercnFoTR58xB4rzVAmY/edit?gid=1021743590#gid=1021743590"",""T10.2025!D4:I46""),6,0) &amp;"", ""&amp; TEXT(VLOOKUP(J42,IMPORTRANGE(""https://docs.google.com/spreadsheets/d/1Q"&amp;"fInhV6_YXjbJgeCXJ370Rz4ercnFoTR58xB4rzVAmY/edit?gid=1021743590#gid=1021743590"",""T10.2025!D4:I46""),5,0),""D/M/YYYY""))"),"#N/A")</f>
        <v>#N/A</v>
      </c>
      <c r="Q42" s="33" t="str">
        <f>IFERROR(__xludf.DUMMYFUNCTION("VLOOKUP(J42,IMPORTRANGE(""https://docs.google.com/spreadsheets/d/1QfInhV6_YXjbJgeCXJ370Rz4ercnFoTR58xB4rzVAmY/edit?gid=1021743590#gid=1021743590"",""T10.2025!D4:G46""),4,0)"),"#N/A")</f>
        <v>#N/A</v>
      </c>
      <c r="R42" s="25"/>
      <c r="S42" s="35"/>
      <c r="T42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2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2" s="35"/>
      <c r="W42" s="13"/>
      <c r="X42" s="37"/>
      <c r="Y42" s="38" t="str">
        <f t="shared" si="5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IFERROR(__xludf.DUMMYFUNCTION("(VLOOKUP(J43,IMPORTRANGE(""https://docs.google.com/spreadsheets/d/1QfInhV6_YXjbJgeCXJ370Rz4ercnFoTR58xB4rzVAmY/edit?gid=1021743590#gid=1021743590"",""T10.2025!D4:I46""),6,0) &amp;"", ""&amp; TEXT(VLOOKUP(J43,IMPORTRANGE(""https://docs.google.com/spreadsheets/d/1Q"&amp;"fInhV6_YXjbJgeCXJ370Rz4ercnFoTR58xB4rzVAmY/edit?gid=1021743590#gid=1021743590"",""T10.2025!D4:I46""),5,0),""D/M/YYYY""))"),"11h00, 27/10/2025")</f>
        <v>11h00, 27/10/2025</v>
      </c>
      <c r="Q43" s="33" t="str">
        <f>IFERROR(__xludf.DUMMYFUNCTION("VLOOKUP(J43,IMPORTRANGE(""https://docs.google.com/spreadsheets/d/1QfInhV6_YXjbJgeCXJ370Rz4ercnFoTR58xB4rzVAmY/edit?gid=1021743590#gid=1021743590"",""T10.2025!D4:G46""),4,0)"),"DH303")</f>
        <v>DH303</v>
      </c>
      <c r="R43" s="25"/>
      <c r="S43" s="35"/>
      <c r="T43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3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3" s="35"/>
      <c r="W43" s="13"/>
      <c r="X43" s="37"/>
      <c r="Y43" s="38" t="str">
        <f t="shared" si="5"/>
        <v>27/10/2025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IFERROR(__xludf.DUMMYFUNCTION("(VLOOKUP(J44,IMPORTRANGE(""https://docs.google.com/spreadsheets/d/1QfInhV6_YXjbJgeCXJ370Rz4ercnFoTR58xB4rzVAmY/edit?gid=1021743590#gid=1021743590"",""T10.2025!D4:I46""),6,0) &amp;"", ""&amp; TEXT(VLOOKUP(J44,IMPORTRANGE(""https://docs.google.com/spreadsheets/d/1Q"&amp;"fInhV6_YXjbJgeCXJ370Rz4ercnFoTR58xB4rzVAmY/edit?gid=1021743590#gid=1021743590"",""T10.2025!D4:I46""),5,0),""D/M/YYYY""))"),"11h00, 27/10/2025")</f>
        <v>11h00, 27/10/2025</v>
      </c>
      <c r="Q44" s="33" t="str">
        <f>IFERROR(__xludf.DUMMYFUNCTION("VLOOKUP(J44,IMPORTRANGE(""https://docs.google.com/spreadsheets/d/1QfInhV6_YXjbJgeCXJ370Rz4ercnFoTR58xB4rzVAmY/edit?gid=1021743590#gid=1021743590"",""T10.2025!D4:G46""),4,0)"),"DH303")</f>
        <v>DH303</v>
      </c>
      <c r="R44" s="25"/>
      <c r="S44" s="35"/>
      <c r="T44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4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4" s="35"/>
      <c r="W44" s="13"/>
      <c r="X44" s="37"/>
      <c r="Y44" s="38" t="str">
        <f t="shared" si="5"/>
        <v>27/10/2025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IFERROR(__xludf.DUMMYFUNCTION("(VLOOKUP(J45,IMPORTRANGE(""https://docs.google.com/spreadsheets/d/1QfInhV6_YXjbJgeCXJ370Rz4ercnFoTR58xB4rzVAmY/edit?gid=1021743590#gid=1021743590"",""T10.2025!D4:I46""),6,0) &amp;"", ""&amp; TEXT(VLOOKUP(J45,IMPORTRANGE(""https://docs.google.com/spreadsheets/d/1Q"&amp;"fInhV6_YXjbJgeCXJ370Rz4ercnFoTR58xB4rzVAmY/edit?gid=1021743590#gid=1021743590"",""T10.2025!D4:I46""),5,0),""D/M/YYYY""))"),"#N/A")</f>
        <v>#N/A</v>
      </c>
      <c r="Q45" s="33" t="str">
        <f>IFERROR(__xludf.DUMMYFUNCTION("VLOOKUP(J45,IMPORTRANGE(""https://docs.google.com/spreadsheets/d/1QfInhV6_YXjbJgeCXJ370Rz4ercnFoTR58xB4rzVAmY/edit?gid=1021743590#gid=1021743590"",""T10.2025!D4:G46""),4,0)"),"#N/A")</f>
        <v>#N/A</v>
      </c>
      <c r="R45" s="25"/>
      <c r="S45" s="35"/>
      <c r="T45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5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5" s="35"/>
      <c r="W45" s="13"/>
      <c r="X45" s="37"/>
      <c r="Y45" s="38" t="str">
        <f t="shared" si="5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IFERROR(__xludf.DUMMYFUNCTION("(VLOOKUP(J46,IMPORTRANGE(""https://docs.google.com/spreadsheets/d/1QfInhV6_YXjbJgeCXJ370Rz4ercnFoTR58xB4rzVAmY/edit?gid=1021743590#gid=1021743590"",""T10.2025!D4:I46""),6,0) &amp;"", ""&amp; TEXT(VLOOKUP(J46,IMPORTRANGE(""https://docs.google.com/spreadsheets/d/1Q"&amp;"fInhV6_YXjbJgeCXJ370Rz4ercnFoTR58xB4rzVAmY/edit?gid=1021743590#gid=1021743590"",""T10.2025!D4:I46""),5,0),""D/M/YYYY""))"),"#N/A")</f>
        <v>#N/A</v>
      </c>
      <c r="Q46" s="33" t="str">
        <f>IFERROR(__xludf.DUMMYFUNCTION("VLOOKUP(J46,IMPORTRANGE(""https://docs.google.com/spreadsheets/d/1QfInhV6_YXjbJgeCXJ370Rz4ercnFoTR58xB4rzVAmY/edit?gid=1021743590#gid=1021743590"",""T10.2025!D4:G46""),4,0)"),"#N/A")</f>
        <v>#N/A</v>
      </c>
      <c r="R46" s="25"/>
      <c r="S46" s="35"/>
      <c r="T46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6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6" s="35"/>
      <c r="W46" s="13"/>
      <c r="X46" s="37"/>
      <c r="Y46" s="38" t="str">
        <f t="shared" si="5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IFERROR(__xludf.DUMMYFUNCTION("(VLOOKUP(J47,IMPORTRANGE(""https://docs.google.com/spreadsheets/d/1QfInhV6_YXjbJgeCXJ370Rz4ercnFoTR58xB4rzVAmY/edit?gid=1021743590#gid=1021743590"",""T10.2025!D4:I46""),6,0) &amp;"", ""&amp; TEXT(VLOOKUP(J47,IMPORTRANGE(""https://docs.google.com/spreadsheets/d/1Q"&amp;"fInhV6_YXjbJgeCXJ370Rz4ercnFoTR58xB4rzVAmY/edit?gid=1021743590#gid=1021743590"",""T10.2025!D4:I46""),5,0),""D/M/YYYY""))"),", 30/12/1899")</f>
        <v>, 30/12/1899</v>
      </c>
      <c r="Q47" s="33" t="str">
        <f>IFERROR(__xludf.DUMMYFUNCTION("VLOOKUP(J47,IMPORTRANGE(""https://docs.google.com/spreadsheets/d/1QfInhV6_YXjbJgeCXJ370Rz4ercnFoTR58xB4rzVAmY/edit?gid=1021743590#gid=1021743590"",""T10.2025!D4:G46""),4,0)"),"")</f>
        <v/>
      </c>
      <c r="R47" s="25"/>
      <c r="S47" s="45" t="s">
        <v>178</v>
      </c>
      <c r="T47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7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7" s="45" t="s">
        <v>179</v>
      </c>
      <c r="W47" s="26" t="s">
        <v>180</v>
      </c>
      <c r="X47" s="37"/>
      <c r="Y47" s="38" t="str">
        <f t="shared" si="5"/>
        <v>30/12/1899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IFERROR(__xludf.DUMMYFUNCTION("(VLOOKUP(J48,IMPORTRANGE(""https://docs.google.com/spreadsheets/d/1QfInhV6_YXjbJgeCXJ370Rz4ercnFoTR58xB4rzVAmY/edit?gid=1021743590#gid=1021743590"",""T10.2025!D4:I46""),6,0) &amp;"", ""&amp; TEXT(VLOOKUP(J48,IMPORTRANGE(""https://docs.google.com/spreadsheets/d/1Q"&amp;"fInhV6_YXjbJgeCXJ370Rz4ercnFoTR58xB4rzVAmY/edit?gid=1021743590#gid=1021743590"",""T10.2025!D4:I46""),5,0),""D/M/YYYY""))"),", 30/12/1899")</f>
        <v>, 30/12/1899</v>
      </c>
      <c r="Q48" s="33" t="str">
        <f>IFERROR(__xludf.DUMMYFUNCTION("VLOOKUP(J48,IMPORTRANGE(""https://docs.google.com/spreadsheets/d/1QfInhV6_YXjbJgeCXJ370Rz4ercnFoTR58xB4rzVAmY/edit?gid=1021743590#gid=1021743590"",""T10.2025!D4:G46""),4,0)"),"")</f>
        <v/>
      </c>
      <c r="R48" s="25"/>
      <c r="S48" s="45" t="s">
        <v>178</v>
      </c>
      <c r="T48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8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8" s="45" t="s">
        <v>179</v>
      </c>
      <c r="W48" s="26" t="s">
        <v>180</v>
      </c>
      <c r="X48" s="37"/>
      <c r="Y48" s="38" t="str">
        <f t="shared" si="5"/>
        <v>30/12/1899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IFERROR(__xludf.DUMMYFUNCTION("(VLOOKUP(J49,IMPORTRANGE(""https://docs.google.com/spreadsheets/d/1QfInhV6_YXjbJgeCXJ370Rz4ercnFoTR58xB4rzVAmY/edit?gid=1021743590#gid=1021743590"",""T10.2025!D4:I46""),6,0) &amp;"", ""&amp; TEXT(VLOOKUP(J49,IMPORTRANGE(""https://docs.google.com/spreadsheets/d/1Q"&amp;"fInhV6_YXjbJgeCXJ370Rz4ercnFoTR58xB4rzVAmY/edit?gid=1021743590#gid=1021743590"",""T10.2025!D4:I46""),5,0),""D/M/YYYY""))"),", 30/12/1899")</f>
        <v>, 30/12/1899</v>
      </c>
      <c r="Q49" s="33" t="str">
        <f>IFERROR(__xludf.DUMMYFUNCTION("VLOOKUP(J49,IMPORTRANGE(""https://docs.google.com/spreadsheets/d/1QfInhV6_YXjbJgeCXJ370Rz4ercnFoTR58xB4rzVAmY/edit?gid=1021743590#gid=1021743590"",""T10.2025!D4:G46""),4,0)"),"")</f>
        <v/>
      </c>
      <c r="R49" s="25"/>
      <c r="S49" s="45" t="s">
        <v>178</v>
      </c>
      <c r="T49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49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49" s="45" t="s">
        <v>179</v>
      </c>
      <c r="W49" s="26" t="s">
        <v>180</v>
      </c>
      <c r="X49" s="37"/>
      <c r="Y49" s="38" t="str">
        <f t="shared" si="5"/>
        <v>30/12/1899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IFERROR(__xludf.DUMMYFUNCTION("(VLOOKUP(J50,IMPORTRANGE(""https://docs.google.com/spreadsheets/d/1QfInhV6_YXjbJgeCXJ370Rz4ercnFoTR58xB4rzVAmY/edit?gid=1021743590#gid=1021743590"",""T10.2025!D4:I46""),6,0) &amp;"", ""&amp; TEXT(VLOOKUP(J50,IMPORTRANGE(""https://docs.google.com/spreadsheets/d/1Q"&amp;"fInhV6_YXjbJgeCXJ370Rz4ercnFoTR58xB4rzVAmY/edit?gid=1021743590#gid=1021743590"",""T10.2025!D4:I46""),5,0),""D/M/YYYY""))"),"10h00, 20/10/2025")</f>
        <v>10h00, 20/10/2025</v>
      </c>
      <c r="Q50" s="33" t="str">
        <f>IFERROR(__xludf.DUMMYFUNCTION("VLOOKUP(J50,IMPORTRANGE(""https://docs.google.com/spreadsheets/d/1QfInhV6_YXjbJgeCXJ370Rz4ercnFoTR58xB4rzVAmY/edit?gid=1021743590#gid=1021743590"",""T10.2025!D4:G46""),4,0)"),"HD301")</f>
        <v>HD301</v>
      </c>
      <c r="R50" s="25"/>
      <c r="S50" s="45" t="s">
        <v>178</v>
      </c>
      <c r="T50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50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50" s="45" t="s">
        <v>179</v>
      </c>
      <c r="W50" s="70" t="s">
        <v>179</v>
      </c>
      <c r="X50" s="37"/>
      <c r="Y50" s="38" t="str">
        <f t="shared" si="5"/>
        <v>20/10/2025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IFERROR(__xludf.DUMMYFUNCTION("(VLOOKUP(J51,IMPORTRANGE(""https://docs.google.com/spreadsheets/d/1QfInhV6_YXjbJgeCXJ370Rz4ercnFoTR58xB4rzVAmY/edit?gid=1021743590#gid=1021743590"",""T10.2025!D4:I46""),6,0) &amp;"", ""&amp; TEXT(VLOOKUP(J51,IMPORTRANGE(""https://docs.google.com/spreadsheets/d/1Q"&amp;"fInhV6_YXjbJgeCXJ370Rz4ercnFoTR58xB4rzVAmY/edit?gid=1021743590#gid=1021743590"",""T10.2025!D4:I46""),5,0),""D/M/YYYY""))"),"13h30, 21/10/2025")</f>
        <v>13h30, 21/10/2025</v>
      </c>
      <c r="Q51" s="33" t="str">
        <f>IFERROR(__xludf.DUMMYFUNCTION("VLOOKUP(J51,IMPORTRANGE(""https://docs.google.com/spreadsheets/d/1QfInhV6_YXjbJgeCXJ370Rz4ercnFoTR58xB4rzVAmY/edit?gid=1021743590#gid=1021743590"",""T10.2025!D4:G46""),4,0)"),"DH307")</f>
        <v>DH307</v>
      </c>
      <c r="R51" s="25"/>
      <c r="S51" s="45" t="s">
        <v>178</v>
      </c>
      <c r="T51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51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51" s="45" t="s">
        <v>179</v>
      </c>
      <c r="W51" s="26" t="s">
        <v>180</v>
      </c>
      <c r="X51" s="37"/>
      <c r="Y51" s="38" t="str">
        <f t="shared" si="5"/>
        <v>21/10/2025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IFERROR(__xludf.DUMMYFUNCTION("(VLOOKUP(J52,IMPORTRANGE(""https://docs.google.com/spreadsheets/d/1QfInhV6_YXjbJgeCXJ370Rz4ercnFoTR58xB4rzVAmY/edit?gid=1021743590#gid=1021743590"",""T10.2025!D4:I46""),6,0) &amp;"", ""&amp; TEXT(VLOOKUP(J52,IMPORTRANGE(""https://docs.google.com/spreadsheets/d/1Q"&amp;"fInhV6_YXjbJgeCXJ370Rz4ercnFoTR58xB4rzVAmY/edit?gid=1021743590#gid=1021743590"",""T10.2025!D4:I46""),5,0),""D/M/YYYY""))"),"11h00, 23/10/2025")</f>
        <v>11h00, 23/10/2025</v>
      </c>
      <c r="Q52" s="33" t="str">
        <f>IFERROR(__xludf.DUMMYFUNCTION("VLOOKUP(J52,IMPORTRANGE(""https://docs.google.com/spreadsheets/d/1QfInhV6_YXjbJgeCXJ370Rz4ercnFoTR58xB4rzVAmY/edit?gid=1021743590#gid=1021743590"",""T10.2025!D4:G46""),4,0)"),"ĐH205")</f>
        <v>ĐH205</v>
      </c>
      <c r="R52" s="25"/>
      <c r="S52" s="45" t="s">
        <v>241</v>
      </c>
      <c r="T52" s="35" t="str">
        <f t="shared" si="3"/>
        <v>- Thông báo xét chọn học bổng Brother năm học 2025 - 2026
- TB đăng ký thi đua tập thể và cá nhân năm học 25-26
- TB cho SV nâng cao cảnh giác, đề phòng các đối tượng lừa đảo
- 
- Triển khai các nhóm SV Khởi nghiệp, NCKH</v>
      </c>
      <c r="U52" s="43" t="str">
        <f t="shared" si="6"/>
        <v>- Triển khai các hoạt động kỷ niệm ngày 20/11
- 
- Các nhóm SV NCKH thực hiện theo tiến độ
- GVCN đôn đốc, nhắc nhở và liên hệ về gia đình SV nghỉ nhiều, nợ nhiều học phần
- </v>
      </c>
      <c r="V52" s="35"/>
      <c r="W52" s="13"/>
      <c r="X52" s="37"/>
      <c r="Y52" s="38" t="str">
        <f t="shared" si="5"/>
        <v>23/10/2025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 t="str">
        <f>IFERROR(__xludf.DUMMYFUNCTION("(VLOOKUP(J53,IMPORTRANGE(""https://docs.google.com/spreadsheets/d/1QfInhV6_YXjbJgeCXJ370Rz4ercnFoTR58xB4rzVAmY/edit?gid=1021743590#gid=1021743590"",""T10.2025!D4:I46""),6,0) &amp;"", ""&amp; TEXT(VLOOKUP(J53,IMPORTRANGE(""https://docs.google.com/spreadsheets/d/1Q"&amp;"fInhV6_YXjbJgeCXJ370Rz4ercnFoTR58xB4rzVAmY/edit?gid=1021743590#gid=1021743590"",""T10.2025!D4:I46""),5,0),""D/M/YYYY""))"),"#N/A")</f>
        <v>#N/A</v>
      </c>
      <c r="Q53" s="33" t="str">
        <f>IFERROR(__xludf.DUMMYFUNCTION("VLOOKUP(J53,IMPORTRANGE(""https://docs.google.com/spreadsheets/d/1QfInhV6_YXjbJgeCXJ370Rz4ercnFoTR58xB4rzVAmY/edit?gid=1021743590#gid=1021743590"",""T10.2025!D4:G46""),4,0)"),"#N/A")</f>
        <v>#N/A</v>
      </c>
      <c r="R53" s="25"/>
      <c r="S53" s="35"/>
      <c r="T53" s="35"/>
      <c r="U53" s="43"/>
      <c r="V53" s="35"/>
      <c r="W53" s="13"/>
      <c r="X53" s="37"/>
      <c r="Y53" s="38" t="str">
        <f t="shared" si="5"/>
        <v>#N/A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/>
      <c r="Q54" s="33"/>
      <c r="R54" s="25"/>
      <c r="S54" s="45"/>
      <c r="T54" s="35"/>
      <c r="U54" s="43"/>
      <c r="V54" s="35"/>
      <c r="W54" s="13"/>
      <c r="X54" s="37"/>
      <c r="Y54" s="38" t="str">
        <f t="shared" si="5"/>
        <v>#VALUE!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/>
      <c r="Q55" s="33"/>
      <c r="R55" s="25"/>
      <c r="S55" s="35"/>
      <c r="T55" s="35"/>
      <c r="U55" s="43"/>
      <c r="V55" s="35"/>
      <c r="W55" s="13"/>
      <c r="X55" s="37"/>
      <c r="Y55" s="38" t="str">
        <f t="shared" si="5"/>
        <v>#VALUE!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InputMessage="1" showErrorMessage="1" prompt="Click and enter a value from the list of items" sqref="D8:D19 D26:D36">
      <formula1>"ALL,K23,K20,K21,K22"</formula1>
    </dataValidation>
    <dataValidation type="list" allowBlank="1" showErrorMessage="1" sqref="G8">
      <formula1>"1232"</formula1>
    </dataValidation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</hyperlinks>
  <printOptions/>
  <pageMargins bottom="0.31496062992125984" footer="0.0" header="0.0" left="0.4330708661417323" right="0.1968503937007874" top="0.31496062992125984"/>
  <pageSetup paperSize="9" orientation="portrait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49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9.0</v>
      </c>
      <c r="E6" s="5">
        <v>2025.0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19" t="s">
        <v>20</v>
      </c>
      <c r="Q7" s="94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242</v>
      </c>
      <c r="D8" s="24" t="s">
        <v>31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IFERROR(__xludf.DUMMYFUNCTION("(VLOOKUP(J8,IMPORTRANGE(""https://docs.google.com/spreadsheets/d/1QfInhV6_YXjbJgeCXJ370Rz4ercnFoTR58xB4rzVAmY/edit?gid=1954418948#gid=1954418948"",""T9.2025!D4:I49""),6,0) &amp;"", ""&amp; TEXT(VLOOKUP(J8,IMPORTRANGE(""https://docs.google.com/spreadsheets/d/1QfIn"&amp;"hV6_YXjbJgeCXJ370Rz4ercnFoTR58xB4rzVAmY/edit?gid=1954418948#gid=1954418948"",""T9.2025!D4:I49""),5,0),""D/M/YYYY""))"),"17h00, 22/9/2025")</f>
        <v>17h00, 22/9/2025</v>
      </c>
      <c r="Q8" s="33" t="str">
        <f>IFERROR(__xludf.DUMMYFUNCTION("VLOOKUP(J8,IMPORTRANGE(""https://docs.google.com/spreadsheets/d/1QfInhV6_YXjbJgeCXJ370Rz4ercnFoTR58xB4rzVAmY/edit?gid=1954418948#gid=1954418948"",""T9.2025!D4:G49""),4,0)"),"DH413")</f>
        <v>DH413</v>
      </c>
      <c r="R8" s="30">
        <v>3.0</v>
      </c>
      <c r="S8" s="34"/>
      <c r="T8" s="35" t="str">
        <f t="shared" ref="T8:T10" si="1">INDEX(C$20:C$23, MATCH(K8, D$20:D$23, 0))</f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8" s="36" t="s">
        <v>243</v>
      </c>
      <c r="V8" s="35"/>
      <c r="W8" s="13"/>
      <c r="X8" s="37"/>
      <c r="Y8" s="38" t="str">
        <f t="shared" ref="Y8:Y19" si="2">TRIM(MID(P8, FIND(",", P8) + 1, LEN(P8)))</f>
        <v>22/9/2025</v>
      </c>
      <c r="Z8" s="3"/>
      <c r="AA8" s="3"/>
      <c r="AB8" s="3"/>
    </row>
    <row r="9">
      <c r="A9" s="1"/>
      <c r="B9" s="39"/>
      <c r="C9" s="23" t="s">
        <v>244</v>
      </c>
      <c r="D9" s="24" t="s">
        <v>31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IFERROR(__xludf.DUMMYFUNCTION("(VLOOKUP(J9,IMPORTRANGE(""https://docs.google.com/spreadsheets/d/1QfInhV6_YXjbJgeCXJ370Rz4ercnFoTR58xB4rzVAmY/edit?gid=1954418948#gid=1954418948"",""T9.2025!D4:I49""),6,0) &amp;"", ""&amp; TEXT(VLOOKUP(J9,IMPORTRANGE(""https://docs.google.com/spreadsheets/d/1QfIn"&amp;"hV6_YXjbJgeCXJ370Rz4ercnFoTR58xB4rzVAmY/edit?gid=1954418948#gid=1954418948"",""T9.2025!D4:I49""),5,0),""D/M/YYYY""))"),"17h00, 23/9/2025")</f>
        <v>17h00, 23/9/2025</v>
      </c>
      <c r="Q9" s="33" t="str">
        <f>IFERROR(__xludf.DUMMYFUNCTION("VLOOKUP(J9,IMPORTRANGE(""https://docs.google.com/spreadsheets/d/1QfInhV6_YXjbJgeCXJ370Rz4ercnFoTR58xB4rzVAmY/edit?gid=1954418948#gid=1954418948"",""T9.2025!D4:G49""),4,0)"),"DH413")</f>
        <v>DH413</v>
      </c>
      <c r="R9" s="25"/>
      <c r="S9" s="35"/>
      <c r="T9" s="35" t="str">
        <f t="shared" si="1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9" s="36" t="s">
        <v>245</v>
      </c>
      <c r="V9" s="35"/>
      <c r="W9" s="13"/>
      <c r="X9" s="37"/>
      <c r="Y9" s="38" t="str">
        <f t="shared" si="2"/>
        <v>23/9/2025</v>
      </c>
      <c r="Z9" s="3"/>
      <c r="AA9" s="3"/>
      <c r="AB9" s="3"/>
    </row>
    <row r="10">
      <c r="A10" s="1"/>
      <c r="B10" s="39"/>
      <c r="C10" s="23" t="s">
        <v>246</v>
      </c>
      <c r="D10" s="24" t="s">
        <v>31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IFERROR(__xludf.DUMMYFUNCTION("(VLOOKUP(J10,IMPORTRANGE(""https://docs.google.com/spreadsheets/d/1QfInhV6_YXjbJgeCXJ370Rz4ercnFoTR58xB4rzVAmY/edit?gid=1954418948#gid=1954418948"",""T9.2025!D4:I49""),6,0) &amp;"", ""&amp; TEXT(VLOOKUP(J10,IMPORTRANGE(""https://docs.google.com/spreadsheets/d/1Qf"&amp;"InhV6_YXjbJgeCXJ370Rz4ercnFoTR58xB4rzVAmY/edit?gid=1954418948#gid=1954418948"",""T9.2025!D4:I49""),5,0),""D/M/YYYY""))"),", 30/12/1899")</f>
        <v>, 30/12/1899</v>
      </c>
      <c r="Q10" s="33" t="str">
        <f>IFERROR(__xludf.DUMMYFUNCTION("VLOOKUP(J10,IMPORTRANGE(""https://docs.google.com/spreadsheets/d/1QfInhV6_YXjbJgeCXJ370Rz4ercnFoTR58xB4rzVAmY/edit?gid=1954418948#gid=1954418948"",""T9.2025!D4:G49""),4,0)"),"")</f>
        <v/>
      </c>
      <c r="R10" s="25"/>
      <c r="S10" s="35"/>
      <c r="T10" s="35" t="str">
        <f t="shared" si="1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0" s="43" t="str">
        <f t="array" ref="U10">INDEX(C$37:C$40, MATCH(K10, D$37:D$40, 0))</f>
        <v>- Triển khai TB Đăng ký thi đua tập thể cá nhân Sv năm học 2025 - 2026
- Thông báo về việc đảm bảo ATGT, PCMT, PCTP năm học 2025 - 2026
- Các nhóm SV NCKH thực hiện theo tiến độ
- 
- </v>
      </c>
      <c r="V10" s="35"/>
      <c r="W10" s="13"/>
      <c r="X10" s="37"/>
      <c r="Y10" s="38" t="str">
        <f t="shared" si="2"/>
        <v>30/12/1899</v>
      </c>
      <c r="Z10" s="3"/>
      <c r="AA10" s="3"/>
      <c r="AB10" s="3"/>
    </row>
    <row r="11">
      <c r="A11" s="1"/>
      <c r="B11" s="39"/>
      <c r="C11" s="23" t="s">
        <v>247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53</v>
      </c>
      <c r="O11" s="44" t="s">
        <v>54</v>
      </c>
      <c r="P11" s="33" t="str">
        <f>IFERROR(__xludf.DUMMYFUNCTION("(VLOOKUP(J11,IMPORTRANGE(""https://docs.google.com/spreadsheets/d/1QfInhV6_YXjbJgeCXJ370Rz4ercnFoTR58xB4rzVAmY/edit?gid=1954418948#gid=1954418948"",""T9.2025!D4:I49""),6,0) &amp;"", ""&amp; TEXT(VLOOKUP(J11,IMPORTRANGE(""https://docs.google.com/spreadsheets/d/1Qf"&amp;"InhV6_YXjbJgeCXJ370Rz4ercnFoTR58xB4rzVAmY/edit?gid=1954418948#gid=1954418948"",""T9.2025!D4:I49""),5,0),""D/M/YYYY""))"),"11h00, 29/9/2025")</f>
        <v>11h00, 29/9/2025</v>
      </c>
      <c r="Q11" s="33" t="str">
        <f>IFERROR(__xludf.DUMMYFUNCTION("VLOOKUP(J11,IMPORTRANGE(""https://docs.google.com/spreadsheets/d/1QfInhV6_YXjbJgeCXJ370Rz4ercnFoTR58xB4rzVAmY/edit?gid=1954418948#gid=1954418948"",""T9.2025!D4:G49""),4,0)"),"HD301A")</f>
        <v>HD301A</v>
      </c>
      <c r="R11" s="30">
        <v>1.0</v>
      </c>
      <c r="S11" s="45" t="s">
        <v>248</v>
      </c>
      <c r="T11" s="45" t="s">
        <v>249</v>
      </c>
      <c r="U11" s="46" t="s">
        <v>234</v>
      </c>
      <c r="V11" s="45" t="s">
        <v>58</v>
      </c>
      <c r="W11" s="45" t="s">
        <v>250</v>
      </c>
      <c r="X11" s="47" t="s">
        <v>58</v>
      </c>
      <c r="Y11" s="38" t="str">
        <f t="shared" si="2"/>
        <v>29/9/2025</v>
      </c>
      <c r="Z11" s="3"/>
      <c r="AA11" s="3"/>
      <c r="AB11" s="3"/>
    </row>
    <row r="12">
      <c r="A12" s="1"/>
      <c r="B12" s="39"/>
      <c r="C12" s="23" t="s">
        <v>251</v>
      </c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IFERROR(__xludf.DUMMYFUNCTION("(VLOOKUP(J12,IMPORTRANGE(""https://docs.google.com/spreadsheets/d/1QfInhV6_YXjbJgeCXJ370Rz4ercnFoTR58xB4rzVAmY/edit?gid=1954418948#gid=1954418948"",""T9.2025!D4:I49""),6,0) &amp;"", ""&amp; TEXT(VLOOKUP(J12,IMPORTRANGE(""https://docs.google.com/spreadsheets/d/1Qf"&amp;"InhV6_YXjbJgeCXJ370Rz4ercnFoTR58xB4rzVAmY/edit?gid=1954418948#gid=1954418948"",""T9.2025!D4:I49""),5,0),""D/M/YYYY""))"),", 30/12/1899")</f>
        <v>, 30/12/1899</v>
      </c>
      <c r="Q12" s="33" t="str">
        <f>IFERROR(__xludf.DUMMYFUNCTION("VLOOKUP(J12,IMPORTRANGE(""https://docs.google.com/spreadsheets/d/1QfInhV6_YXjbJgeCXJ370Rz4ercnFoTR58xB4rzVAmY/edit?gid=1954418948#gid=1954418948"",""T9.2025!D4:G49""),4,0)"),"")</f>
        <v/>
      </c>
      <c r="R12" s="25"/>
      <c r="S12" s="35"/>
      <c r="T12" s="35" t="str">
        <f t="shared" ref="T12:T52" si="3">INDEX(C$20:C$23, MATCH(K12, D$20:D$23, 0))</f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2" s="43" t="str">
        <f t="shared" ref="U12:U27" si="4">INDEX(C$37:C$40, MATCH(K12, D$37:D$40, 0))</f>
        <v>- Triển khai TB Đăng ký thi đua tập thể cá nhân Sv năm học 2025 - 2026
- Thông báo về việc đảm bảo ATGT, PCMT, PCTP năm học 2025 - 2026
- Các nhóm SV NCKH thực hiện theo tiến độ
- 
- </v>
      </c>
      <c r="V12" s="35"/>
      <c r="W12" s="13"/>
      <c r="X12" s="37"/>
      <c r="Y12" s="38" t="str">
        <f t="shared" si="2"/>
        <v>30/12/1899</v>
      </c>
      <c r="Z12" s="3"/>
      <c r="AA12" s="3"/>
      <c r="AB12" s="3"/>
    </row>
    <row r="13">
      <c r="A13" s="1"/>
      <c r="B13" s="48"/>
      <c r="C13" s="23" t="s">
        <v>252</v>
      </c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IFERROR(__xludf.DUMMYFUNCTION("(VLOOKUP(J13,IMPORTRANGE(""https://docs.google.com/spreadsheets/d/1QfInhV6_YXjbJgeCXJ370Rz4ercnFoTR58xB4rzVAmY/edit?gid=1954418948#gid=1954418948"",""T9.2025!D4:I49""),6,0) &amp;"", ""&amp; TEXT(VLOOKUP(J13,IMPORTRANGE(""https://docs.google.com/spreadsheets/d/1Qf"&amp;"InhV6_YXjbJgeCXJ370Rz4ercnFoTR58xB4rzVAmY/edit?gid=1954418948#gid=1954418948"",""T9.2025!D4:I49""),5,0),""D/M/YYYY""))"),", 30/12/1899")</f>
        <v>, 30/12/1899</v>
      </c>
      <c r="Q13" s="33" t="str">
        <f>IFERROR(__xludf.DUMMYFUNCTION("VLOOKUP(J13,IMPORTRANGE(""https://docs.google.com/spreadsheets/d/1QfInhV6_YXjbJgeCXJ370Rz4ercnFoTR58xB4rzVAmY/edit?gid=1954418948#gid=1954418948"",""T9.2025!D4:G49""),4,0)"),"")</f>
        <v/>
      </c>
      <c r="R13" s="25"/>
      <c r="S13" s="35"/>
      <c r="T13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3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3" s="35"/>
      <c r="W13" s="13"/>
      <c r="X13" s="37"/>
      <c r="Y13" s="38" t="str">
        <f t="shared" si="2"/>
        <v>30/12/1899</v>
      </c>
      <c r="Z13" s="3"/>
      <c r="AA13" s="3"/>
      <c r="AB13" s="3"/>
    </row>
    <row r="14">
      <c r="A14" s="1"/>
      <c r="B14" s="51" t="s">
        <v>65</v>
      </c>
      <c r="C14" s="23" t="s">
        <v>66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IFERROR(__xludf.DUMMYFUNCTION("(VLOOKUP(J14,IMPORTRANGE(""https://docs.google.com/spreadsheets/d/1QfInhV6_YXjbJgeCXJ370Rz4ercnFoTR58xB4rzVAmY/edit?gid=1954418948#gid=1954418948"",""T9.2025!D4:I49""),6,0) &amp;"", ""&amp; TEXT(VLOOKUP(J14,IMPORTRANGE(""https://docs.google.com/spreadsheets/d/1Qf"&amp;"InhV6_YXjbJgeCXJ370Rz4ercnFoTR58xB4rzVAmY/edit?gid=1954418948#gid=1954418948"",""T9.2025!D4:I49""),5,0),""D/M/YYYY""))"),", 30/12/1899")</f>
        <v>, 30/12/1899</v>
      </c>
      <c r="Q14" s="33" t="str">
        <f>IFERROR(__xludf.DUMMYFUNCTION("VLOOKUP(J14,IMPORTRANGE(""https://docs.google.com/spreadsheets/d/1QfInhV6_YXjbJgeCXJ370Rz4ercnFoTR58xB4rzVAmY/edit?gid=1954418948#gid=1954418948"",""T9.2025!D4:G49""),4,0)"),"")</f>
        <v/>
      </c>
      <c r="R14" s="25"/>
      <c r="S14" s="35"/>
      <c r="T14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4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4" s="35"/>
      <c r="W14" s="13"/>
      <c r="X14" s="37"/>
      <c r="Y14" s="38" t="str">
        <f t="shared" si="2"/>
        <v>30/12/1899</v>
      </c>
      <c r="Z14" s="3"/>
      <c r="AA14" s="3"/>
      <c r="AB14" s="3"/>
    </row>
    <row r="15">
      <c r="A15" s="1"/>
      <c r="B15" s="39"/>
      <c r="C15" s="23" t="s">
        <v>211</v>
      </c>
      <c r="D15" s="24" t="s">
        <v>69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IFERROR(__xludf.DUMMYFUNCTION("(VLOOKUP(J15,IMPORTRANGE(""https://docs.google.com/spreadsheets/d/1QfInhV6_YXjbJgeCXJ370Rz4ercnFoTR58xB4rzVAmY/edit?gid=1954418948#gid=1954418948"",""T9.2025!D4:I49""),6,0) &amp;"", ""&amp; TEXT(VLOOKUP(J15,IMPORTRANGE(""https://docs.google.com/spreadsheets/d/1Qf"&amp;"InhV6_YXjbJgeCXJ370Rz4ercnFoTR58xB4rzVAmY/edit?gid=1954418948#gid=1954418948"",""T9.2025!D4:I49""),5,0),""D/M/YYYY""))"),", 30/12/1899")</f>
        <v>, 30/12/1899</v>
      </c>
      <c r="Q15" s="33" t="str">
        <f>IFERROR(__xludf.DUMMYFUNCTION("VLOOKUP(J15,IMPORTRANGE(""https://docs.google.com/spreadsheets/d/1QfInhV6_YXjbJgeCXJ370Rz4ercnFoTR58xB4rzVAmY/edit?gid=1954418948#gid=1954418948"",""T9.2025!D4:G49""),4,0)"),"")</f>
        <v/>
      </c>
      <c r="R15" s="25"/>
      <c r="S15" s="35"/>
      <c r="T15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5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5" s="35"/>
      <c r="W15" s="13"/>
      <c r="X15" s="37"/>
      <c r="Y15" s="38" t="str">
        <f t="shared" si="2"/>
        <v>30/12/1899</v>
      </c>
      <c r="Z15" s="3"/>
      <c r="AA15" s="3"/>
      <c r="AB15" s="3"/>
    </row>
    <row r="16">
      <c r="A16" s="1"/>
      <c r="B16" s="39"/>
      <c r="D16" s="24"/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IFERROR(__xludf.DUMMYFUNCTION("(VLOOKUP(J16,IMPORTRANGE(""https://docs.google.com/spreadsheets/d/1QfInhV6_YXjbJgeCXJ370Rz4ercnFoTR58xB4rzVAmY/edit?gid=1954418948#gid=1954418948"",""T9.2025!D4:I49""),6,0) &amp;"", ""&amp; TEXT(VLOOKUP(J16,IMPORTRANGE(""https://docs.google.com/spreadsheets/d/1Qf"&amp;"InhV6_YXjbJgeCXJ370Rz4ercnFoTR58xB4rzVAmY/edit?gid=1954418948#gid=1954418948"",""T9.2025!D4:I49""),5,0),""D/M/YYYY""))"),", 30/12/1899")</f>
        <v>, 30/12/1899</v>
      </c>
      <c r="Q16" s="33" t="str">
        <f>IFERROR(__xludf.DUMMYFUNCTION("VLOOKUP(J16,IMPORTRANGE(""https://docs.google.com/spreadsheets/d/1QfInhV6_YXjbJgeCXJ370Rz4ercnFoTR58xB4rzVAmY/edit?gid=1954418948#gid=1954418948"",""T9.2025!D4:G49""),4,0)"),"")</f>
        <v/>
      </c>
      <c r="R16" s="25"/>
      <c r="S16" s="35"/>
      <c r="T16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6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6" s="35"/>
      <c r="W16" s="13"/>
      <c r="X16" s="37"/>
      <c r="Y16" s="38" t="str">
        <f t="shared" si="2"/>
        <v>30/12/1899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IFERROR(__xludf.DUMMYFUNCTION("(VLOOKUP(J17,IMPORTRANGE(""https://docs.google.com/spreadsheets/d/1QfInhV6_YXjbJgeCXJ370Rz4ercnFoTR58xB4rzVAmY/edit?gid=1954418948#gid=1954418948"",""T9.2025!D4:I49""),6,0) &amp;"", ""&amp; TEXT(VLOOKUP(J17,IMPORTRANGE(""https://docs.google.com/spreadsheets/d/1Qf"&amp;"InhV6_YXjbJgeCXJ370Rz4ercnFoTR58xB4rzVAmY/edit?gid=1954418948#gid=1954418948"",""T9.2025!D4:I49""),5,0),""D/M/YYYY""))"),", 30/12/1899")</f>
        <v>, 30/12/1899</v>
      </c>
      <c r="Q17" s="33" t="str">
        <f>IFERROR(__xludf.DUMMYFUNCTION("VLOOKUP(J17,IMPORTRANGE(""https://docs.google.com/spreadsheets/d/1QfInhV6_YXjbJgeCXJ370Rz4ercnFoTR58xB4rzVAmY/edit?gid=1954418948#gid=1954418948"",""T9.2025!D4:G49""),4,0)"),"")</f>
        <v/>
      </c>
      <c r="R17" s="25"/>
      <c r="S17" s="35"/>
      <c r="T17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7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7" s="35"/>
      <c r="W17" s="13"/>
      <c r="X17" s="37"/>
      <c r="Y17" s="38" t="str">
        <f t="shared" si="2"/>
        <v>30/12/1899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2">
        <v>25.0</v>
      </c>
      <c r="N18" s="42" t="s">
        <v>79</v>
      </c>
      <c r="O18" s="42"/>
      <c r="P18" s="33" t="str">
        <f>IFERROR(__xludf.DUMMYFUNCTION("(VLOOKUP(J18,IMPORTRANGE(""https://docs.google.com/spreadsheets/d/1QfInhV6_YXjbJgeCXJ370Rz4ercnFoTR58xB4rzVAmY/edit?gid=1954418948#gid=1954418948"",""T9.2025!D4:I49""),6,0) &amp;"", ""&amp; TEXT(VLOOKUP(J18,IMPORTRANGE(""https://docs.google.com/spreadsheets/d/1Qf"&amp;"InhV6_YXjbJgeCXJ370Rz4ercnFoTR58xB4rzVAmY/edit?gid=1954418948#gid=1954418948"",""T9.2025!D4:I49""),5,0),""D/M/YYYY""))"),"10h00, 30/9/2025")</f>
        <v>10h00, 30/9/2025</v>
      </c>
      <c r="Q18" s="33" t="str">
        <f>IFERROR(__xludf.DUMMYFUNCTION("VLOOKUP(J18,IMPORTRANGE(""https://docs.google.com/spreadsheets/d/1QfInhV6_YXjbJgeCXJ370Rz4ercnFoTR58xB4rzVAmY/edit?gid=1954418948#gid=1954418948"",""T9.2025!D4:G49""),4,0)"),"ĐH219A")</f>
        <v>ĐH219A</v>
      </c>
      <c r="R18" s="25"/>
      <c r="S18" s="45" t="s">
        <v>253</v>
      </c>
      <c r="T18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8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8" s="35"/>
      <c r="W18" s="13"/>
      <c r="X18" s="37"/>
      <c r="Y18" s="38" t="str">
        <f t="shared" si="2"/>
        <v>30/9/2025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29" t="s">
        <v>81</v>
      </c>
      <c r="K19" s="5" t="s">
        <v>35</v>
      </c>
      <c r="L19" s="30" t="s">
        <v>78</v>
      </c>
      <c r="M19" s="56">
        <v>74.0</v>
      </c>
      <c r="N19" s="42" t="s">
        <v>82</v>
      </c>
      <c r="O19" s="42"/>
      <c r="P19" s="33" t="str">
        <f>IFERROR(__xludf.DUMMYFUNCTION("(VLOOKUP(J19,IMPORTRANGE(""https://docs.google.com/spreadsheets/d/1QfInhV6_YXjbJgeCXJ370Rz4ercnFoTR58xB4rzVAmY/edit?gid=1954418948#gid=1954418948"",""T9.2025!D4:I49""),6,0) &amp;"", ""&amp; TEXT(VLOOKUP(J19,IMPORTRANGE(""https://docs.google.com/spreadsheets/d/1Qf"&amp;"InhV6_YXjbJgeCXJ370Rz4ercnFoTR58xB4rzVAmY/edit?gid=1954418948#gid=1954418948"",""T9.2025!D4:I49""),5,0),""D/M/YYYY""))"),"13h15, 29/9/2025")</f>
        <v>13h15, 29/9/2025</v>
      </c>
      <c r="Q19" s="33" t="str">
        <f>IFERROR(__xludf.DUMMYFUNCTION("VLOOKUP(J19,IMPORTRANGE(""https://docs.google.com/spreadsheets/d/1QfInhV6_YXjbJgeCXJ370Rz4ercnFoTR58xB4rzVAmY/edit?gid=1954418948#gid=1954418948"",""T9.2025!D4:G49""),4,0)"),"ĐH413")</f>
        <v>ĐH413</v>
      </c>
      <c r="R19" s="25"/>
      <c r="S19" s="45" t="s">
        <v>253</v>
      </c>
      <c r="T19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19" s="43" t="str">
        <f t="shared" si="4"/>
        <v>- Triển khai TB Đăng ký thi đua tập thể cá nhân Sv năm học 2025 - 2026
- Thông báo về việc đảm bảo ATGT, PCMT, PCTP năm học 2025 - 2026
- Các nhóm SV NCKH thực hiện theo tiến độ
- 
- </v>
      </c>
      <c r="V19" s="35"/>
      <c r="W19" s="13"/>
      <c r="X19" s="37"/>
      <c r="Y19" s="38" t="str">
        <f t="shared" si="2"/>
        <v>29/9/2025</v>
      </c>
      <c r="Z19" s="3"/>
      <c r="AA19" s="3"/>
      <c r="AB19" s="3"/>
    </row>
    <row r="20" ht="118.5" customHeight="1">
      <c r="A20" s="1"/>
      <c r="B20" s="51" t="s">
        <v>84</v>
      </c>
      <c r="C20" s="58" t="str">
        <f>IFERROR(__xludf.DUMMYFUNCTION("JOIN(CHAR(10), FILTER(""- "" &amp; C$8:C$19, (D$8:D$19 = ""ALL"") + (D$8:D$19 = D20)))"),"-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Khởi"&amp;" nghiệp, NCKH")</f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IFERROR(__xludf.DUMMYFUNCTION("(VLOOKUP(J20,IMPORTRANGE(""https://docs.google.com/spreadsheets/d/1QfInhV6_YXjbJgeCXJ370Rz4ercnFoTR58xB4rzVAmY/edit?gid=1954418948#gid=1954418948"",""T9.2025!D4:I49""),6,0) &amp;"", ""&amp; TEXT(VLOOKUP(J20,IMPORTRANGE(""https://docs.google.com/spreadsheets/d/1Qf"&amp;"InhV6_YXjbJgeCXJ370Rz4ercnFoTR58xB4rzVAmY/edit?gid=1954418948#gid=1954418948"",""T9.2025!D4:I49""),5,0),""D/M/YYYY""))"),", 30/12/1899")</f>
        <v>, 30/12/1899</v>
      </c>
      <c r="Q20" s="33" t="str">
        <f>IFERROR(__xludf.DUMMYFUNCTION("VLOOKUP(J20,IMPORTRANGE(""https://docs.google.com/spreadsheets/d/1QfInhV6_YXjbJgeCXJ370Rz4ercnFoTR58xB4rzVAmY/edit?gid=1954418948#gid=1954418948"",""T9.2025!D4:G49""),4,0)"),"")</f>
        <v/>
      </c>
      <c r="R20" s="25"/>
      <c r="S20" s="35"/>
      <c r="T20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0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Khởi"&amp;" nghiệp, NCKH
- Triển khai SV K20 thực tập DN")</f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IFERROR(__xludf.DUMMYFUNCTION("(VLOOKUP(J21,IMPORTRANGE(""https://docs.google.com/spreadsheets/d/1QfInhV6_YXjbJgeCXJ370Rz4ercnFoTR58xB4rzVAmY/edit?gid=1954418948#gid=1954418948"",""T9.2025!D4:I49""),6,0) &amp;"", ""&amp; TEXT(VLOOKUP(J21,IMPORTRANGE(""https://docs.google.com/spreadsheets/d/1Qf"&amp;"InhV6_YXjbJgeCXJ370Rz4ercnFoTR58xB4rzVAmY/edit?gid=1954418948#gid=1954418948"",""T9.2025!D4:I49""),5,0),""D/M/YYYY""))"),", 30/12/1899")</f>
        <v>, 30/12/1899</v>
      </c>
      <c r="Q21" s="33" t="str">
        <f>IFERROR(__xludf.DUMMYFUNCTION("VLOOKUP(J21,IMPORTRANGE(""https://docs.google.com/spreadsheets/d/1QfInhV6_YXjbJgeCXJ370Rz4ercnFoTR58xB4rzVAmY/edit?gid=1954418948#gid=1954418948"",""T9.2025!D4:G49""),4,0)"),"")</f>
        <v/>
      </c>
      <c r="R21" s="25"/>
      <c r="S21" s="35"/>
      <c r="T21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1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Khởi"&amp;" nghiệp, NCKH")</f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IFERROR(__xludf.DUMMYFUNCTION("(VLOOKUP(J22,IMPORTRANGE(""https://docs.google.com/spreadsheets/d/1QfInhV6_YXjbJgeCXJ370Rz4ercnFoTR58xB4rzVAmY/edit?gid=1954418948#gid=1954418948"",""T9.2025!D4:I49""),6,0) &amp;"", ""&amp; TEXT(VLOOKUP(J22,IMPORTRANGE(""https://docs.google.com/spreadsheets/d/1Qf"&amp;"InhV6_YXjbJgeCXJ370Rz4ercnFoTR58xB4rzVAmY/edit?gid=1954418948#gid=1954418948"",""T9.2025!D4:I49""),5,0),""D/M/YYYY""))"),", 30/12/1899")</f>
        <v>, 30/12/1899</v>
      </c>
      <c r="Q22" s="33" t="str">
        <f>IFERROR(__xludf.DUMMYFUNCTION("VLOOKUP(J22,IMPORTRANGE(""https://docs.google.com/spreadsheets/d/1QfInhV6_YXjbJgeCXJ370Rz4ercnFoTR58xB4rzVAmY/edit?gid=1954418948#gid=1954418948"",""T9.2025!D4:G49""),4,0)"),"")</f>
        <v/>
      </c>
      <c r="R22" s="25"/>
      <c r="S22" s="35"/>
      <c r="T22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2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Khởi"&amp;" nghiệp, NCKH")</f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IFERROR(__xludf.DUMMYFUNCTION("(VLOOKUP(J23,IMPORTRANGE(""https://docs.google.com/spreadsheets/d/1QfInhV6_YXjbJgeCXJ370Rz4ercnFoTR58xB4rzVAmY/edit?gid=1954418948#gid=1954418948"",""T9.2025!D4:I49""),6,0) &amp;"", ""&amp; TEXT(VLOOKUP(J23,IMPORTRANGE(""https://docs.google.com/spreadsheets/d/1Qf"&amp;"InhV6_YXjbJgeCXJ370Rz4ercnFoTR58xB4rzVAmY/edit?gid=1954418948#gid=1954418948"",""T9.2025!D4:I49""),5,0),""D/M/YYYY""))"),"16h30, 30/9/2025")</f>
        <v>16h30, 30/9/2025</v>
      </c>
      <c r="Q23" s="33" t="str">
        <f>IFERROR(__xludf.DUMMYFUNCTION("VLOOKUP(J23,IMPORTRANGE(""https://docs.google.com/spreadsheets/d/1QfInhV6_YXjbJgeCXJ370Rz4ercnFoTR58xB4rzVAmY/edit?gid=1954418948#gid=1954418948"",""T9.2025!D4:G49""),4,0)"),"ĐH411")</f>
        <v>ĐH411</v>
      </c>
      <c r="R23" s="25"/>
      <c r="S23" s="35"/>
      <c r="T23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3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3" s="35"/>
      <c r="W23" s="13"/>
      <c r="X23" s="37"/>
      <c r="Y23" s="38" t="str">
        <f t="shared" ref="Y23:Y55" si="5">TRIM(MID(P23, FIND(",", P23) + 1, LEN(P23)))</f>
        <v>30/9/2025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IFERROR(__xludf.DUMMYFUNCTION("(VLOOKUP(J24,IMPORTRANGE(""https://docs.google.com/spreadsheets/d/1QfInhV6_YXjbJgeCXJ370Rz4ercnFoTR58xB4rzVAmY/edit?gid=1954418948#gid=1954418948"",""T9.2025!D4:I49""),6,0) &amp;"", ""&amp; TEXT(VLOOKUP(J24,IMPORTRANGE(""https://docs.google.com/spreadsheets/d/1Qf"&amp;"InhV6_YXjbJgeCXJ370Rz4ercnFoTR58xB4rzVAmY/edit?gid=1954418948#gid=1954418948"",""T9.2025!D4:I49""),5,0),""D/M/YYYY""))"),"14h00, 25/9/2025")</f>
        <v>14h00, 25/9/2025</v>
      </c>
      <c r="Q24" s="33" t="str">
        <f>IFERROR(__xludf.DUMMYFUNCTION("VLOOKUP(J24,IMPORTRANGE(""https://docs.google.com/spreadsheets/d/1QfInhV6_YXjbJgeCXJ370Rz4ercnFoTR58xB4rzVAmY/edit?gid=1954418948#gid=1954418948"",""T9.2025!D4:G49""),4,0)"),"ĐH302")</f>
        <v>ĐH302</v>
      </c>
      <c r="R24" s="25"/>
      <c r="S24" s="35"/>
      <c r="T24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4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4" s="35"/>
      <c r="W24" s="13"/>
      <c r="X24" s="37"/>
      <c r="Y24" s="38" t="str">
        <f t="shared" si="5"/>
        <v>25/9/2025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IFERROR(__xludf.DUMMYFUNCTION("(VLOOKUP(J25,IMPORTRANGE(""https://docs.google.com/spreadsheets/d/1QfInhV6_YXjbJgeCXJ370Rz4ercnFoTR58xB4rzVAmY/edit?gid=1954418948#gid=1954418948"",""T9.2025!D4:I49""),6,0) &amp;"", ""&amp; TEXT(VLOOKUP(J25,IMPORTRANGE(""https://docs.google.com/spreadsheets/d/1Qf"&amp;"InhV6_YXjbJgeCXJ370Rz4ercnFoTR58xB4rzVAmY/edit?gid=1954418948#gid=1954418948"",""T9.2025!D4:I49""),5,0),""D/M/YYYY""))"),", 30/12/1899")</f>
        <v>, 30/12/1899</v>
      </c>
      <c r="Q25" s="33" t="str">
        <f>IFERROR(__xludf.DUMMYFUNCTION("VLOOKUP(J25,IMPORTRANGE(""https://docs.google.com/spreadsheets/d/1QfInhV6_YXjbJgeCXJ370Rz4ercnFoTR58xB4rzVAmY/edit?gid=1954418948#gid=1954418948"",""T9.2025!D4:G49""),4,0)"),"")</f>
        <v/>
      </c>
      <c r="R25" s="25"/>
      <c r="S25" s="35"/>
      <c r="T25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5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5" s="35"/>
      <c r="W25" s="13"/>
      <c r="X25" s="37"/>
      <c r="Y25" s="38" t="str">
        <f t="shared" si="5"/>
        <v>30/12/1899</v>
      </c>
      <c r="Z25" s="3"/>
      <c r="AA25" s="3"/>
      <c r="AB25" s="3"/>
    </row>
    <row r="26">
      <c r="A26" s="65"/>
      <c r="B26" s="22"/>
      <c r="C26" s="23" t="s">
        <v>254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IFERROR(__xludf.DUMMYFUNCTION("(VLOOKUP(J26,IMPORTRANGE(""https://docs.google.com/spreadsheets/d/1QfInhV6_YXjbJgeCXJ370Rz4ercnFoTR58xB4rzVAmY/edit?gid=1954418948#gid=1954418948"",""T9.2025!D4:I49""),6,0) &amp;"", ""&amp; TEXT(VLOOKUP(J26,IMPORTRANGE(""https://docs.google.com/spreadsheets/d/1Qf"&amp;"InhV6_YXjbJgeCXJ370Rz4ercnFoTR58xB4rzVAmY/edit?gid=1954418948#gid=1954418948"",""T9.2025!D4:I49""),5,0),""D/M/YYYY""))"),"11h00, 30/9/2025")</f>
        <v>11h00, 30/9/2025</v>
      </c>
      <c r="Q26" s="33" t="str">
        <f>IFERROR(__xludf.DUMMYFUNCTION("VLOOKUP(J26,IMPORTRANGE(""https://docs.google.com/spreadsheets/d/1QfInhV6_YXjbJgeCXJ370Rz4ercnFoTR58xB4rzVAmY/edit?gid=1954418948#gid=1954418948"",""T9.2025!D4:G49""),4,0)"),"DH411")</f>
        <v>DH411</v>
      </c>
      <c r="R26" s="25"/>
      <c r="S26" s="35"/>
      <c r="T26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6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6" s="35"/>
      <c r="W26" s="13"/>
      <c r="X26" s="37"/>
      <c r="Y26" s="38" t="str">
        <f t="shared" si="5"/>
        <v>30/9/2025</v>
      </c>
      <c r="Z26" s="3"/>
      <c r="AA26" s="3"/>
      <c r="AB26" s="3"/>
    </row>
    <row r="27">
      <c r="A27" s="65"/>
      <c r="B27" s="39"/>
      <c r="C27" s="23" t="s">
        <v>255</v>
      </c>
      <c r="D27" s="24" t="s">
        <v>31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IFERROR(__xludf.DUMMYFUNCTION("(VLOOKUP(J27,IMPORTRANGE(""https://docs.google.com/spreadsheets/d/1QfInhV6_YXjbJgeCXJ370Rz4ercnFoTR58xB4rzVAmY/edit?gid=1954418948#gid=1954418948"",""T9.2025!D4:I49""),6,0) &amp;"", ""&amp; TEXT(VLOOKUP(J27,IMPORTRANGE(""https://docs.google.com/spreadsheets/d/1Qf"&amp;"InhV6_YXjbJgeCXJ370Rz4ercnFoTR58xB4rzVAmY/edit?gid=1954418948#gid=1954418948"",""T9.2025!D4:I49""),5,0),""D/M/YYYY""))"),", 30/12/1899")</f>
        <v>, 30/12/1899</v>
      </c>
      <c r="Q27" s="33" t="str">
        <f>IFERROR(__xludf.DUMMYFUNCTION("VLOOKUP(J27,IMPORTRANGE(""https://docs.google.com/spreadsheets/d/1QfInhV6_YXjbJgeCXJ370Rz4ercnFoTR58xB4rzVAmY/edit?gid=1954418948#gid=1954418948"",""T9.2025!D4:G49""),4,0)"),"")</f>
        <v/>
      </c>
      <c r="R27" s="25"/>
      <c r="S27" s="45" t="s">
        <v>117</v>
      </c>
      <c r="T27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7" s="43" t="str">
        <f t="shared" si="4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7" s="35"/>
      <c r="W27" s="13"/>
      <c r="X27" s="37"/>
      <c r="Y27" s="38" t="str">
        <f t="shared" si="5"/>
        <v>30/12/1899</v>
      </c>
      <c r="Z27" s="3"/>
      <c r="AA27" s="3"/>
      <c r="AB27" s="3"/>
    </row>
    <row r="28">
      <c r="A28" s="65"/>
      <c r="B28" s="39"/>
      <c r="C28" s="55"/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IFERROR(__xludf.DUMMYFUNCTION("(VLOOKUP(J28,IMPORTRANGE(""https://docs.google.com/spreadsheets/d/1QfInhV6_YXjbJgeCXJ370Rz4ercnFoTR58xB4rzVAmY/edit?gid=1954418948#gid=1954418948"",""T9.2025!D4:I49""),6,0) &amp;"", ""&amp; TEXT(VLOOKUP(J28,IMPORTRANGE(""https://docs.google.com/spreadsheets/d/1Qf"&amp;"InhV6_YXjbJgeCXJ370Rz4ercnFoTR58xB4rzVAmY/edit?gid=1954418948#gid=1954418948"",""T9.2025!D4:I49""),5,0),""D/M/YYYY""))"),"13h00, 27/9/2025")</f>
        <v>13h00, 27/9/2025</v>
      </c>
      <c r="Q28" s="33" t="str">
        <f>IFERROR(__xludf.DUMMYFUNCTION("VLOOKUP(J28,IMPORTRANGE(""https://docs.google.com/spreadsheets/d/1QfInhV6_YXjbJgeCXJ370Rz4ercnFoTR58xB4rzVAmY/edit?gid=1954418948#gid=1954418948"",""T9.2025!D4:G49""),4,0)"),"HD301A")</f>
        <v>HD301A</v>
      </c>
      <c r="R28" s="25"/>
      <c r="S28" s="45" t="s">
        <v>256</v>
      </c>
      <c r="T28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8" s="69" t="s">
        <v>257</v>
      </c>
      <c r="V28" s="45" t="s">
        <v>58</v>
      </c>
      <c r="W28" s="70" t="s">
        <v>58</v>
      </c>
      <c r="X28" s="47" t="s">
        <v>58</v>
      </c>
      <c r="Y28" s="38" t="str">
        <f t="shared" si="5"/>
        <v>27/9/2025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IFERROR(__xludf.DUMMYFUNCTION("(VLOOKUP(J29,IMPORTRANGE(""https://docs.google.com/spreadsheets/d/1QfInhV6_YXjbJgeCXJ370Rz4ercnFoTR58xB4rzVAmY/edit?gid=1954418948#gid=1954418948"",""T9.2025!D4:I49""),6,0) &amp;"", ""&amp; TEXT(VLOOKUP(J29,IMPORTRANGE(""https://docs.google.com/spreadsheets/d/1Qf"&amp;"InhV6_YXjbJgeCXJ370Rz4ercnFoTR58xB4rzVAmY/edit?gid=1954418948#gid=1954418948"",""T9.2025!D4:I49""),5,0),""D/M/YYYY""))"),", 30/12/1899")</f>
        <v>, 30/12/1899</v>
      </c>
      <c r="Q29" s="33" t="str">
        <f>IFERROR(__xludf.DUMMYFUNCTION("VLOOKUP(J29,IMPORTRANGE(""https://docs.google.com/spreadsheets/d/1QfInhV6_YXjbJgeCXJ370Rz4ercnFoTR58xB4rzVAmY/edit?gid=1954418948#gid=1954418948"",""T9.2025!D4:G49""),4,0)"),"")</f>
        <v/>
      </c>
      <c r="R29" s="25"/>
      <c r="S29" s="35"/>
      <c r="T29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29" s="43" t="str">
        <f t="shared" ref="U29:U52" si="6">INDEX(C$37:C$40, MATCH(K29, D$37:D$40, 0))</f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29" s="35"/>
      <c r="W29" s="13"/>
      <c r="X29" s="37"/>
      <c r="Y29" s="38" t="str">
        <f t="shared" si="5"/>
        <v>30/12/1899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IFERROR(__xludf.DUMMYFUNCTION("(VLOOKUP(J30,IMPORTRANGE(""https://docs.google.com/spreadsheets/d/1QfInhV6_YXjbJgeCXJ370Rz4ercnFoTR58xB4rzVAmY/edit?gid=1954418948#gid=1954418948"",""T9.2025!D4:I49""),6,0) &amp;"", ""&amp; TEXT(VLOOKUP(J30,IMPORTRANGE(""https://docs.google.com/spreadsheets/d/1Qf"&amp;"InhV6_YXjbJgeCXJ370Rz4ercnFoTR58xB4rzVAmY/edit?gid=1954418948#gid=1954418948"",""T9.2025!D4:I49""),5,0),""D/M/YYYY""))"),"11h00, 29/9/2025")</f>
        <v>11h00, 29/9/2025</v>
      </c>
      <c r="Q30" s="33" t="str">
        <f>IFERROR(__xludf.DUMMYFUNCTION("VLOOKUP(J30,IMPORTRANGE(""https://docs.google.com/spreadsheets/d/1QfInhV6_YXjbJgeCXJ370Rz4ercnFoTR58xB4rzVAmY/edit?gid=1954418948#gid=1954418948"",""T9.2025!D4:G49""),4,0)"),"ĐH205")</f>
        <v>ĐH205</v>
      </c>
      <c r="R30" s="25"/>
      <c r="S30" s="45" t="s">
        <v>258</v>
      </c>
      <c r="T30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30" s="43" t="str">
        <f t="shared" si="6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30" s="35"/>
      <c r="W30" s="13"/>
      <c r="X30" s="47" t="s">
        <v>130</v>
      </c>
      <c r="Y30" s="38" t="str">
        <f t="shared" si="5"/>
        <v>29/9/2025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IFERROR(__xludf.DUMMYFUNCTION("(VLOOKUP(J31,IMPORTRANGE(""https://docs.google.com/spreadsheets/d/1QfInhV6_YXjbJgeCXJ370Rz4ercnFoTR58xB4rzVAmY/edit?gid=1954418948#gid=1954418948"",""T9.2025!D4:I49""),6,0) &amp;"", ""&amp; TEXT(VLOOKUP(J31,IMPORTRANGE(""https://docs.google.com/spreadsheets/d/1Qf"&amp;"InhV6_YXjbJgeCXJ370Rz4ercnFoTR58xB4rzVAmY/edit?gid=1954418948#gid=1954418948"",""T9.2025!D4:I49""),5,0),""D/M/YYYY""))"),"11h00, 30/9/2025")</f>
        <v>11h00, 30/9/2025</v>
      </c>
      <c r="Q31" s="33" t="str">
        <f>IFERROR(__xludf.DUMMYFUNCTION("VLOOKUP(J31,IMPORTRANGE(""https://docs.google.com/spreadsheets/d/1QfInhV6_YXjbJgeCXJ370Rz4ercnFoTR58xB4rzVAmY/edit?gid=1954418948#gid=1954418948"",""T9.2025!D4:G49""),4,0)"),"ĐH205")</f>
        <v>ĐH205</v>
      </c>
      <c r="R31" s="25"/>
      <c r="S31" s="35"/>
      <c r="T31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
- Triển khai SV K20 thực tập DN</v>
      </c>
      <c r="U31" s="43" t="str">
        <f t="shared" si="6"/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V31" s="35"/>
      <c r="W31" s="13"/>
      <c r="X31" s="37"/>
      <c r="Y31" s="38" t="str">
        <f t="shared" si="5"/>
        <v>30/9/2025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IFERROR(__xludf.DUMMYFUNCTION("(VLOOKUP(J32,IMPORTRANGE(""https://docs.google.com/spreadsheets/d/1QfInhV6_YXjbJgeCXJ370Rz4ercnFoTR58xB4rzVAmY/edit?gid=1954418948#gid=1954418948"",""T9.2025!D4:I49""),6,0) &amp;"", ""&amp; TEXT(VLOOKUP(J32,IMPORTRANGE(""https://docs.google.com/spreadsheets/d/1Qf"&amp;"InhV6_YXjbJgeCXJ370Rz4ercnFoTR58xB4rzVAmY/edit?gid=1954418948#gid=1954418948"",""T9.2025!D4:I49""),5,0),""D/M/YYYY""))"),", 30/12/1899")</f>
        <v>, 30/12/1899</v>
      </c>
      <c r="Q32" s="33" t="str">
        <f>IFERROR(__xludf.DUMMYFUNCTION("VLOOKUP(J32,IMPORTRANGE(""https://docs.google.com/spreadsheets/d/1QfInhV6_YXjbJgeCXJ370Rz4ercnFoTR58xB4rzVAmY/edit?gid=1954418948#gid=1954418948"",""T9.2025!D4:G49""),4,0)"),"")</f>
        <v/>
      </c>
      <c r="R32" s="25"/>
      <c r="S32" s="35"/>
      <c r="T32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2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2" s="35"/>
      <c r="W32" s="13"/>
      <c r="X32" s="37"/>
      <c r="Y32" s="38" t="str">
        <f t="shared" si="5"/>
        <v>30/12/1899</v>
      </c>
      <c r="Z32" s="3"/>
      <c r="AA32" s="3"/>
      <c r="AB32" s="3"/>
    </row>
    <row r="33">
      <c r="A33" s="65"/>
      <c r="B33" s="39"/>
      <c r="C33" s="23"/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IFERROR(__xludf.DUMMYFUNCTION("(VLOOKUP(J33,IMPORTRANGE(""https://docs.google.com/spreadsheets/d/1QfInhV6_YXjbJgeCXJ370Rz4ercnFoTR58xB4rzVAmY/edit?gid=1954418948#gid=1954418948"",""T9.2025!D4:I49""),6,0) &amp;"", ""&amp; TEXT(VLOOKUP(J33,IMPORTRANGE(""https://docs.google.com/spreadsheets/d/1Qf"&amp;"InhV6_YXjbJgeCXJ370Rz4ercnFoTR58xB4rzVAmY/edit?gid=1954418948#gid=1954418948"",""T9.2025!D4:I49""),5,0),""D/M/YYYY""))"),", 30/12/1899")</f>
        <v>, 30/12/1899</v>
      </c>
      <c r="Q33" s="33" t="str">
        <f>IFERROR(__xludf.DUMMYFUNCTION("VLOOKUP(J33,IMPORTRANGE(""https://docs.google.com/spreadsheets/d/1QfInhV6_YXjbJgeCXJ370Rz4ercnFoTR58xB4rzVAmY/edit?gid=1954418948#gid=1954418948"",""T9.2025!D4:G49""),4,0)"),"")</f>
        <v/>
      </c>
      <c r="R33" s="25"/>
      <c r="S33" s="35"/>
      <c r="T33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3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3" s="35"/>
      <c r="W33" s="13"/>
      <c r="X33" s="37"/>
      <c r="Y33" s="38" t="str">
        <f t="shared" si="5"/>
        <v>30/12/1899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IFERROR(__xludf.DUMMYFUNCTION("(VLOOKUP(J34,IMPORTRANGE(""https://docs.google.com/spreadsheets/d/1QfInhV6_YXjbJgeCXJ370Rz4ercnFoTR58xB4rzVAmY/edit?gid=1954418948#gid=1954418948"",""T9.2025!D4:I49""),6,0) &amp;"", ""&amp; TEXT(VLOOKUP(J34,IMPORTRANGE(""https://docs.google.com/spreadsheets/d/1Qf"&amp;"InhV6_YXjbJgeCXJ370Rz4ercnFoTR58xB4rzVAmY/edit?gid=1954418948#gid=1954418948"",""T9.2025!D4:I49""),5,0),""D/M/YYYY""))"),"16h30, 1/10/2025")</f>
        <v>16h30, 1/10/2025</v>
      </c>
      <c r="Q34" s="33" t="str">
        <f>IFERROR(__xludf.DUMMYFUNCTION("VLOOKUP(J34,IMPORTRANGE(""https://docs.google.com/spreadsheets/d/1QfInhV6_YXjbJgeCXJ370Rz4ercnFoTR58xB4rzVAmY/edit?gid=1954418948#gid=1954418948"",""T9.2025!D4:G49""),4,0)"),"ĐH411")</f>
        <v>ĐH411</v>
      </c>
      <c r="R34" s="25"/>
      <c r="S34" s="35"/>
      <c r="T34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4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4" s="35"/>
      <c r="W34" s="13"/>
      <c r="X34" s="37"/>
      <c r="Y34" s="38" t="str">
        <f t="shared" si="5"/>
        <v>1/10/2025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IFERROR(__xludf.DUMMYFUNCTION("(VLOOKUP(J35,IMPORTRANGE(""https://docs.google.com/spreadsheets/d/1QfInhV6_YXjbJgeCXJ370Rz4ercnFoTR58xB4rzVAmY/edit?gid=1954418948#gid=1954418948"",""T9.2025!D4:I49""),6,0) &amp;"", ""&amp; TEXT(VLOOKUP(J35,IMPORTRANGE(""https://docs.google.com/spreadsheets/d/1Qf"&amp;"InhV6_YXjbJgeCXJ370Rz4ercnFoTR58xB4rzVAmY/edit?gid=1954418948#gid=1954418948"",""T9.2025!D4:I49""),5,0),""D/M/YYYY""))"),"14h00, 26/9/2025")</f>
        <v>14h00, 26/9/2025</v>
      </c>
      <c r="Q35" s="33" t="str">
        <f>IFERROR(__xludf.DUMMYFUNCTION("VLOOKUP(J35,IMPORTRANGE(""https://docs.google.com/spreadsheets/d/1QfInhV6_YXjbJgeCXJ370Rz4ercnFoTR58xB4rzVAmY/edit?gid=1954418948#gid=1954418948"",""T9.2025!D4:G49""),4,0)"),"ĐH302")</f>
        <v>ĐH302</v>
      </c>
      <c r="R35" s="25"/>
      <c r="S35" s="35"/>
      <c r="T35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5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5" s="35"/>
      <c r="W35" s="13"/>
      <c r="X35" s="37"/>
      <c r="Y35" s="38" t="str">
        <f t="shared" si="5"/>
        <v>26/9/2025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IFERROR(__xludf.DUMMYFUNCTION("(VLOOKUP(J36,IMPORTRANGE(""https://docs.google.com/spreadsheets/d/1QfInhV6_YXjbJgeCXJ370Rz4ercnFoTR58xB4rzVAmY/edit?gid=1954418948#gid=1954418948"",""T9.2025!D4:I49""),6,0) &amp;"", ""&amp; TEXT(VLOOKUP(J36,IMPORTRANGE(""https://docs.google.com/spreadsheets/d/1Qf"&amp;"InhV6_YXjbJgeCXJ370Rz4ercnFoTR58xB4rzVAmY/edit?gid=1954418948#gid=1954418948"",""T9.2025!D4:I49""),5,0),""D/M/YYYY""))"),"16h30, 1/10/2025")</f>
        <v>16h30, 1/10/2025</v>
      </c>
      <c r="Q36" s="33" t="str">
        <f>IFERROR(__xludf.DUMMYFUNCTION("VLOOKUP(J36,IMPORTRANGE(""https://docs.google.com/spreadsheets/d/1QfInhV6_YXjbJgeCXJ370Rz4ercnFoTR58xB4rzVAmY/edit?gid=1954418948#gid=1954418948"",""T9.2025!D4:G49""),4,0)"),"Đh402")</f>
        <v>Đh402</v>
      </c>
      <c r="R36" s="25"/>
      <c r="S36" s="35"/>
      <c r="T36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6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6" s="35"/>
      <c r="W36" s="13"/>
      <c r="X36" s="37"/>
      <c r="Y36" s="38" t="str">
        <f t="shared" si="5"/>
        <v>1/10/2025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TB Đăng ký thi đua tập thể cá nhân Sv năm học 2025 - 2026
- Thông báo về việc đảm bảo ATGT, PCMT, PCTP năm học 2025 - 2026
- Các nhóm SV NCKH thực hiện theo tiến độ
- 
- ")</f>
        <v>- Triển khai TB Đăng ký thi đua tập thể cá nhân Sv năm học 2025 - 2026
- Thông báo về việc đảm bảo ATGT, PCMT, PCTP năm học 2025 - 2026
- Các nhóm SV NCKH thực hiện theo tiến độ
- 
- </v>
      </c>
      <c r="D37" s="24" t="s">
        <v>35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IFERROR(__xludf.DUMMYFUNCTION("(VLOOKUP(J37,IMPORTRANGE(""https://docs.google.com/spreadsheets/d/1QfInhV6_YXjbJgeCXJ370Rz4ercnFoTR58xB4rzVAmY/edit?gid=1954418948#gid=1954418948"",""T9.2025!D4:I49""),6,0) &amp;"", ""&amp; TEXT(VLOOKUP(J37,IMPORTRANGE(""https://docs.google.com/spreadsheets/d/1Qf"&amp;"InhV6_YXjbJgeCXJ370Rz4ercnFoTR58xB4rzVAmY/edit?gid=1954418948#gid=1954418948"",""T9.2025!D4:I49""),5,0),""D/M/YYYY""))"),"10h55, 25/9/2025")</f>
        <v>10h55, 25/9/2025</v>
      </c>
      <c r="Q37" s="33" t="str">
        <f>IFERROR(__xludf.DUMMYFUNCTION("VLOOKUP(J37,IMPORTRANGE(""https://docs.google.com/spreadsheets/d/1QfInhV6_YXjbJgeCXJ370Rz4ercnFoTR58xB4rzVAmY/edit?gid=1954418948#gid=1954418948"",""T9.2025!D4:G49""),4,0)"),"2DH412")</f>
        <v>2DH412</v>
      </c>
      <c r="R37" s="25"/>
      <c r="S37" s="45"/>
      <c r="T37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7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7" s="45" t="s">
        <v>150</v>
      </c>
      <c r="W37" s="70" t="s">
        <v>150</v>
      </c>
      <c r="X37" s="47" t="s">
        <v>151</v>
      </c>
      <c r="Y37" s="38" t="str">
        <f t="shared" si="5"/>
        <v>25/9/2025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"&amp;"
- ")</f>
        <v>- Triển khai TB Đăng ký thi đua tập thể cá nhân Sv năm học 2025 - 2026
- Thông báo về việc đảm bảo ATGT, PCMT, PCTP năm học 2025 - 2026
- 
- Các nhóm SV NCKH thực hiện theo tiến độ
- Nhắc nhở SV trả nợ học phần, đặc biệt K20 để đảm bảo điều kiện xét TN
- 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IFERROR(__xludf.DUMMYFUNCTION("(VLOOKUP(J38,IMPORTRANGE(""https://docs.google.com/spreadsheets/d/1QfInhV6_YXjbJgeCXJ370Rz4ercnFoTR58xB4rzVAmY/edit?gid=1954418948#gid=1954418948"",""T9.2025!D4:I49""),6,0) &amp;"", ""&amp; TEXT(VLOOKUP(J38,IMPORTRANGE(""https://docs.google.com/spreadsheets/d/1Qf"&amp;"InhV6_YXjbJgeCXJ370Rz4ercnFoTR58xB4rzVAmY/edit?gid=1954418948#gid=1954418948"",""T9.2025!D4:I49""),5,0),""D/M/YYYY""))"),"10h55, 26/9/2025")</f>
        <v>10h55, 26/9/2025</v>
      </c>
      <c r="Q38" s="33" t="str">
        <f>IFERROR(__xludf.DUMMYFUNCTION("VLOOKUP(J38,IMPORTRANGE(""https://docs.google.com/spreadsheets/d/1QfInhV6_YXjbJgeCXJ370Rz4ercnFoTR58xB4rzVAmY/edit?gid=1954418948#gid=1954418948"",""T9.2025!D4:G49""),4,0)"),"2DH505")</f>
        <v>2DH505</v>
      </c>
      <c r="R38" s="25"/>
      <c r="S38" s="45"/>
      <c r="T38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8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8" s="45" t="s">
        <v>150</v>
      </c>
      <c r="W38" s="70" t="s">
        <v>150</v>
      </c>
      <c r="X38" s="47" t="s">
        <v>151</v>
      </c>
      <c r="Y38" s="38" t="str">
        <f t="shared" si="5"/>
        <v>26/9/2025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TB Đăng ký thi đua tập thể cá nhân Sv năm học 2025 - 2026
- Thông báo về việc đảm bảo ATGT, PCMT, PCTP năm học 2025 - 2026
- Các nhóm SV NCKH thực hiện theo tiến độ
- 
- ")</f>
        <v>- Triển khai TB Đăng ký thi đua tập thể cá nhân Sv năm học 2025 - 2026
- Thông báo về việc đảm bảo ATGT, PCMT, PCTP năm học 2025 - 2026
- Các nhóm SV NCKH thực hiện theo tiến độ
- 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IFERROR(__xludf.DUMMYFUNCTION("(VLOOKUP(J39,IMPORTRANGE(""https://docs.google.com/spreadsheets/d/1QfInhV6_YXjbJgeCXJ370Rz4ercnFoTR58xB4rzVAmY/edit?gid=1954418948#gid=1954418948"",""T9.2025!D4:I49""),6,0) &amp;"", ""&amp; TEXT(VLOOKUP(J39,IMPORTRANGE(""https://docs.google.com/spreadsheets/d/1Qf"&amp;"InhV6_YXjbJgeCXJ370Rz4ercnFoTR58xB4rzVAmY/edit?gid=1954418948#gid=1954418948"",""T9.2025!D4:I49""),5,0),""D/M/YYYY""))"),"10h55, 27/9/2025")</f>
        <v>10h55, 27/9/2025</v>
      </c>
      <c r="Q39" s="33" t="str">
        <f>IFERROR(__xludf.DUMMYFUNCTION("VLOOKUP(J39,IMPORTRANGE(""https://docs.google.com/spreadsheets/d/1QfInhV6_YXjbJgeCXJ370Rz4ercnFoTR58xB4rzVAmY/edit?gid=1954418948#gid=1954418948"",""T9.2025!D4:G49""),4,0)"),"HD405")</f>
        <v>HD405</v>
      </c>
      <c r="R39" s="25"/>
      <c r="S39" s="35"/>
      <c r="T39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39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39" s="45" t="s">
        <v>150</v>
      </c>
      <c r="W39" s="70" t="s">
        <v>150</v>
      </c>
      <c r="X39" s="47" t="s">
        <v>156</v>
      </c>
      <c r="Y39" s="38" t="str">
        <f t="shared" si="5"/>
        <v>27/9/2025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TB Đăng ký thi đua tập thể cá nhân Sv năm học 2025 - 2026
- Thông báo về việc đảm bảo ATGT, PCMT, PCTP năm học 2025 - 2026
- Các nhóm SV NCKH thực hiện theo tiến độ
- 
- ")</f>
        <v>- Triển khai TB Đăng ký thi đua tập thể cá nhân Sv năm học 2025 - 2026
- Thông báo về việc đảm bảo ATGT, PCMT, PCTP năm học 2025 - 2026
- Các nhóm SV NCKH thực hiện theo tiến độ
- 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IFERROR(__xludf.DUMMYFUNCTION("(VLOOKUP(J40,IMPORTRANGE(""https://docs.google.com/spreadsheets/d/1QfInhV6_YXjbJgeCXJ370Rz4ercnFoTR58xB4rzVAmY/edit?gid=1954418948#gid=1954418948"",""T9.2025!D4:I49""),6,0) &amp;"", ""&amp; TEXT(VLOOKUP(J40,IMPORTRANGE(""https://docs.google.com/spreadsheets/d/1Qf"&amp;"InhV6_YXjbJgeCXJ370Rz4ercnFoTR58xB4rzVAmY/edit?gid=1954418948#gid=1954418948"",""T9.2025!D4:I49""),5,0),""D/M/YYYY""))"),"10h55, 24/9/2025")</f>
        <v>10h55, 24/9/2025</v>
      </c>
      <c r="Q40" s="33" t="str">
        <f>IFERROR(__xludf.DUMMYFUNCTION("VLOOKUP(J40,IMPORTRANGE(""https://docs.google.com/spreadsheets/d/1QfInhV6_YXjbJgeCXJ370Rz4ercnFoTR58xB4rzVAmY/edit?gid=1954418948#gid=1954418948"",""T9.2025!D4:G49""),4,0)"),"HD508")</f>
        <v>HD508</v>
      </c>
      <c r="R40" s="25"/>
      <c r="S40" s="45"/>
      <c r="T40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0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0" s="45" t="s">
        <v>150</v>
      </c>
      <c r="W40" s="70" t="s">
        <v>150</v>
      </c>
      <c r="X40" s="47" t="s">
        <v>151</v>
      </c>
      <c r="Y40" s="38" t="str">
        <f t="shared" si="5"/>
        <v>24/9/2025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IFERROR(__xludf.DUMMYFUNCTION("(VLOOKUP(J41,IMPORTRANGE(""https://docs.google.com/spreadsheets/d/1QfInhV6_YXjbJgeCXJ370Rz4ercnFoTR58xB4rzVAmY/edit?gid=1954418948#gid=1954418948"",""T9.2025!D4:I49""),6,0) &amp;"", ""&amp; TEXT(VLOOKUP(J41,IMPORTRANGE(""https://docs.google.com/spreadsheets/d/1Qf"&amp;"InhV6_YXjbJgeCXJ370Rz4ercnFoTR58xB4rzVAmY/edit?gid=1954418948#gid=1954418948"",""T9.2025!D4:I49""),5,0),""D/M/YYYY""))"),"11h20, 29/9/2025")</f>
        <v>11h20, 29/9/2025</v>
      </c>
      <c r="Q41" s="33" t="str">
        <f>IFERROR(__xludf.DUMMYFUNCTION("VLOOKUP(J41,IMPORTRANGE(""https://docs.google.com/spreadsheets/d/1QfInhV6_YXjbJgeCXJ370Rz4ercnFoTR58xB4rzVAmY/edit?gid=1954418948#gid=1954418948"",""T9.2025!D4:G49""),4,0)"),"ĐH301")</f>
        <v>ĐH301</v>
      </c>
      <c r="R41" s="25"/>
      <c r="S41" s="45" t="s">
        <v>240</v>
      </c>
      <c r="T41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1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1" s="35"/>
      <c r="W41" s="13"/>
      <c r="X41" s="47" t="s">
        <v>130</v>
      </c>
      <c r="Y41" s="38" t="str">
        <f t="shared" si="5"/>
        <v>29/9/2025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9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IFERROR(__xludf.DUMMYFUNCTION("(VLOOKUP(J42,IMPORTRANGE(""https://docs.google.com/spreadsheets/d/1QfInhV6_YXjbJgeCXJ370Rz4ercnFoTR58xB4rzVAmY/edit?gid=1954418948#gid=1954418948"",""T9.2025!D4:I49""),6,0) &amp;"", ""&amp; TEXT(VLOOKUP(J42,IMPORTRANGE(""https://docs.google.com/spreadsheets/d/1Qf"&amp;"InhV6_YXjbJgeCXJ370Rz4ercnFoTR58xB4rzVAmY/edit?gid=1954418948#gid=1954418948"",""T9.2025!D4:I49""),5,0),""D/M/YYYY""))"),"#N/A")</f>
        <v>#N/A</v>
      </c>
      <c r="Q42" s="33" t="str">
        <f>IFERROR(__xludf.DUMMYFUNCTION("VLOOKUP(J42,IMPORTRANGE(""https://docs.google.com/spreadsheets/d/1QfInhV6_YXjbJgeCXJ370Rz4ercnFoTR58xB4rzVAmY/edit?gid=1954418948#gid=1954418948"",""T9.2025!D4:G49""),4,0)"),"#N/A")</f>
        <v>#N/A</v>
      </c>
      <c r="R42" s="25"/>
      <c r="S42" s="35"/>
      <c r="T42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2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2" s="35"/>
      <c r="W42" s="13"/>
      <c r="X42" s="37"/>
      <c r="Y42" s="38" t="str">
        <f t="shared" si="5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IFERROR(__xludf.DUMMYFUNCTION("(VLOOKUP(J43,IMPORTRANGE(""https://docs.google.com/spreadsheets/d/1QfInhV6_YXjbJgeCXJ370Rz4ercnFoTR58xB4rzVAmY/edit?gid=1954418948#gid=1954418948"",""T9.2025!D4:I49""),6,0) &amp;"", ""&amp; TEXT(VLOOKUP(J43,IMPORTRANGE(""https://docs.google.com/spreadsheets/d/1Qf"&amp;"InhV6_YXjbJgeCXJ370Rz4ercnFoTR58xB4rzVAmY/edit?gid=1954418948#gid=1954418948"",""T9.2025!D4:I49""),5,0),""D/M/YYYY""))"),", 30/12/1899")</f>
        <v>, 30/12/1899</v>
      </c>
      <c r="Q43" s="33" t="str">
        <f>IFERROR(__xludf.DUMMYFUNCTION("VLOOKUP(J43,IMPORTRANGE(""https://docs.google.com/spreadsheets/d/1QfInhV6_YXjbJgeCXJ370Rz4ercnFoTR58xB4rzVAmY/edit?gid=1954418948#gid=1954418948"",""T9.2025!D4:G49""),4,0)"),"")</f>
        <v/>
      </c>
      <c r="R43" s="25"/>
      <c r="S43" s="35"/>
      <c r="T43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3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3" s="35"/>
      <c r="W43" s="13"/>
      <c r="X43" s="37"/>
      <c r="Y43" s="38" t="str">
        <f t="shared" si="5"/>
        <v>30/12/1899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IFERROR(__xludf.DUMMYFUNCTION("(VLOOKUP(J44,IMPORTRANGE(""https://docs.google.com/spreadsheets/d/1QfInhV6_YXjbJgeCXJ370Rz4ercnFoTR58xB4rzVAmY/edit?gid=1954418948#gid=1954418948"",""T9.2025!D4:I49""),6,0) &amp;"", ""&amp; TEXT(VLOOKUP(J44,IMPORTRANGE(""https://docs.google.com/spreadsheets/d/1Qf"&amp;"InhV6_YXjbJgeCXJ370Rz4ercnFoTR58xB4rzVAmY/edit?gid=1954418948#gid=1954418948"",""T9.2025!D4:I49""),5,0),""D/M/YYYY""))"),", 30/12/1899")</f>
        <v>, 30/12/1899</v>
      </c>
      <c r="Q44" s="33" t="str">
        <f>IFERROR(__xludf.DUMMYFUNCTION("VLOOKUP(J44,IMPORTRANGE(""https://docs.google.com/spreadsheets/d/1QfInhV6_YXjbJgeCXJ370Rz4ercnFoTR58xB4rzVAmY/edit?gid=1954418948#gid=1954418948"",""T9.2025!D4:G49""),4,0)"),"")</f>
        <v/>
      </c>
      <c r="R44" s="25"/>
      <c r="S44" s="35"/>
      <c r="T44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4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4" s="35"/>
      <c r="W44" s="13"/>
      <c r="X44" s="37"/>
      <c r="Y44" s="38" t="str">
        <f t="shared" si="5"/>
        <v>30/12/1899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IFERROR(__xludf.DUMMYFUNCTION("(VLOOKUP(J45,IMPORTRANGE(""https://docs.google.com/spreadsheets/d/1QfInhV6_YXjbJgeCXJ370Rz4ercnFoTR58xB4rzVAmY/edit?gid=1954418948#gid=1954418948"",""T9.2025!D4:I49""),6,0) &amp;"", ""&amp; TEXT(VLOOKUP(J45,IMPORTRANGE(""https://docs.google.com/spreadsheets/d/1Qf"&amp;"InhV6_YXjbJgeCXJ370Rz4ercnFoTR58xB4rzVAmY/edit?gid=1954418948#gid=1954418948"",""T9.2025!D4:I49""),5,0),""D/M/YYYY""))"),"#N/A")</f>
        <v>#N/A</v>
      </c>
      <c r="Q45" s="33" t="str">
        <f>IFERROR(__xludf.DUMMYFUNCTION("VLOOKUP(J45,IMPORTRANGE(""https://docs.google.com/spreadsheets/d/1QfInhV6_YXjbJgeCXJ370Rz4ercnFoTR58xB4rzVAmY/edit?gid=1954418948#gid=1954418948"",""T9.2025!D4:G49""),4,0)"),"#N/A")</f>
        <v>#N/A</v>
      </c>
      <c r="R45" s="25"/>
      <c r="S45" s="35"/>
      <c r="T45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5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5" s="35"/>
      <c r="W45" s="13"/>
      <c r="X45" s="37"/>
      <c r="Y45" s="38" t="str">
        <f t="shared" si="5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IFERROR(__xludf.DUMMYFUNCTION("(VLOOKUP(J46,IMPORTRANGE(""https://docs.google.com/spreadsheets/d/1QfInhV6_YXjbJgeCXJ370Rz4ercnFoTR58xB4rzVAmY/edit?gid=1954418948#gid=1954418948"",""T9.2025!D4:I49""),6,0) &amp;"", ""&amp; TEXT(VLOOKUP(J46,IMPORTRANGE(""https://docs.google.com/spreadsheets/d/1Qf"&amp;"InhV6_YXjbJgeCXJ370Rz4ercnFoTR58xB4rzVAmY/edit?gid=1954418948#gid=1954418948"",""T9.2025!D4:I49""),5,0),""D/M/YYYY""))"),"#N/A")</f>
        <v>#N/A</v>
      </c>
      <c r="Q46" s="33" t="str">
        <f>IFERROR(__xludf.DUMMYFUNCTION("VLOOKUP(J46,IMPORTRANGE(""https://docs.google.com/spreadsheets/d/1QfInhV6_YXjbJgeCXJ370Rz4ercnFoTR58xB4rzVAmY/edit?gid=1954418948#gid=1954418948"",""T9.2025!D4:G49""),4,0)"),"#N/A")</f>
        <v>#N/A</v>
      </c>
      <c r="R46" s="25"/>
      <c r="S46" s="35"/>
      <c r="T46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6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6" s="35"/>
      <c r="W46" s="13"/>
      <c r="X46" s="37"/>
      <c r="Y46" s="38" t="str">
        <f t="shared" si="5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IFERROR(__xludf.DUMMYFUNCTION("(VLOOKUP(J47,IMPORTRANGE(""https://docs.google.com/spreadsheets/d/1QfInhV6_YXjbJgeCXJ370Rz4ercnFoTR58xB4rzVAmY/edit?gid=1954418948#gid=1954418948"",""T9.2025!D4:I49""),6,0) &amp;"", ""&amp; TEXT(VLOOKUP(J47,IMPORTRANGE(""https://docs.google.com/spreadsheets/d/1Qf"&amp;"InhV6_YXjbJgeCXJ370Rz4ercnFoTR58xB4rzVAmY/edit?gid=1954418948#gid=1954418948"",""T9.2025!D4:I49""),5,0),""D/M/YYYY""))"),", 30/12/1899")</f>
        <v>, 30/12/1899</v>
      </c>
      <c r="Q47" s="33" t="str">
        <f>IFERROR(__xludf.DUMMYFUNCTION("VLOOKUP(J47,IMPORTRANGE(""https://docs.google.com/spreadsheets/d/1QfInhV6_YXjbJgeCXJ370Rz4ercnFoTR58xB4rzVAmY/edit?gid=1954418948#gid=1954418948"",""T9.2025!D4:G49""),4,0)"),"")</f>
        <v/>
      </c>
      <c r="R47" s="25"/>
      <c r="S47" s="45" t="s">
        <v>178</v>
      </c>
      <c r="T47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7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7" s="45" t="s">
        <v>179</v>
      </c>
      <c r="W47" s="26" t="s">
        <v>180</v>
      </c>
      <c r="X47" s="37"/>
      <c r="Y47" s="38" t="str">
        <f t="shared" si="5"/>
        <v>30/12/1899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IFERROR(__xludf.DUMMYFUNCTION("(VLOOKUP(J48,IMPORTRANGE(""https://docs.google.com/spreadsheets/d/1QfInhV6_YXjbJgeCXJ370Rz4ercnFoTR58xB4rzVAmY/edit?gid=1954418948#gid=1954418948"",""T9.2025!D4:I49""),6,0) &amp;"", ""&amp; TEXT(VLOOKUP(J48,IMPORTRANGE(""https://docs.google.com/spreadsheets/d/1Qf"&amp;"InhV6_YXjbJgeCXJ370Rz4ercnFoTR58xB4rzVAmY/edit?gid=1954418948#gid=1954418948"",""T9.2025!D4:I49""),5,0),""D/M/YYYY""))"),", 30/12/1899")</f>
        <v>, 30/12/1899</v>
      </c>
      <c r="Q48" s="33" t="str">
        <f>IFERROR(__xludf.DUMMYFUNCTION("VLOOKUP(J48,IMPORTRANGE(""https://docs.google.com/spreadsheets/d/1QfInhV6_YXjbJgeCXJ370Rz4ercnFoTR58xB4rzVAmY/edit?gid=1954418948#gid=1954418948"",""T9.2025!D4:G49""),4,0)"),"")</f>
        <v/>
      </c>
      <c r="R48" s="25"/>
      <c r="S48" s="45" t="s">
        <v>178</v>
      </c>
      <c r="T48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8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8" s="45" t="s">
        <v>179</v>
      </c>
      <c r="W48" s="26" t="s">
        <v>180</v>
      </c>
      <c r="X48" s="37"/>
      <c r="Y48" s="38" t="str">
        <f t="shared" si="5"/>
        <v>30/12/1899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IFERROR(__xludf.DUMMYFUNCTION("(VLOOKUP(J49,IMPORTRANGE(""https://docs.google.com/spreadsheets/d/1QfInhV6_YXjbJgeCXJ370Rz4ercnFoTR58xB4rzVAmY/edit?gid=1954418948#gid=1954418948"",""T9.2025!D4:I49""),6,0) &amp;"", ""&amp; TEXT(VLOOKUP(J49,IMPORTRANGE(""https://docs.google.com/spreadsheets/d/1Qf"&amp;"InhV6_YXjbJgeCXJ370Rz4ercnFoTR58xB4rzVAmY/edit?gid=1954418948#gid=1954418948"",""T9.2025!D4:I49""),5,0),""D/M/YYYY""))"),", 30/12/1899")</f>
        <v>, 30/12/1899</v>
      </c>
      <c r="Q49" s="33" t="str">
        <f>IFERROR(__xludf.DUMMYFUNCTION("VLOOKUP(J49,IMPORTRANGE(""https://docs.google.com/spreadsheets/d/1QfInhV6_YXjbJgeCXJ370Rz4ercnFoTR58xB4rzVAmY/edit?gid=1954418948#gid=1954418948"",""T9.2025!D4:G49""),4,0)"),"")</f>
        <v/>
      </c>
      <c r="R49" s="25"/>
      <c r="S49" s="45" t="s">
        <v>178</v>
      </c>
      <c r="T49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49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49" s="45" t="s">
        <v>179</v>
      </c>
      <c r="W49" s="26" t="s">
        <v>180</v>
      </c>
      <c r="X49" s="37"/>
      <c r="Y49" s="38" t="str">
        <f t="shared" si="5"/>
        <v>30/12/1899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IFERROR(__xludf.DUMMYFUNCTION("(VLOOKUP(J50,IMPORTRANGE(""https://docs.google.com/spreadsheets/d/1QfInhV6_YXjbJgeCXJ370Rz4ercnFoTR58xB4rzVAmY/edit?gid=1954418948#gid=1954418948"",""T9.2025!D4:I49""),6,0) &amp;"", ""&amp; TEXT(VLOOKUP(J50,IMPORTRANGE(""https://docs.google.com/spreadsheets/d/1Qf"&amp;"InhV6_YXjbJgeCXJ370Rz4ercnFoTR58xB4rzVAmY/edit?gid=1954418948#gid=1954418948"",""T9.2025!D4:I49""),5,0),""D/M/YYYY""))"),"15h25, 26/9/2025")</f>
        <v>15h25, 26/9/2025</v>
      </c>
      <c r="Q50" s="33" t="str">
        <f>IFERROR(__xludf.DUMMYFUNCTION("VLOOKUP(J50,IMPORTRANGE(""https://docs.google.com/spreadsheets/d/1QfInhV6_YXjbJgeCXJ370Rz4ercnFoTR58xB4rzVAmY/edit?gid=1954418948#gid=1954418948"",""T9.2025!D4:G49""),4,0)"),"HD301A")</f>
        <v>HD301A</v>
      </c>
      <c r="R50" s="25"/>
      <c r="S50" s="45" t="s">
        <v>178</v>
      </c>
      <c r="T50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50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50" s="45" t="s">
        <v>179</v>
      </c>
      <c r="W50" s="70" t="s">
        <v>179</v>
      </c>
      <c r="X50" s="37"/>
      <c r="Y50" s="38" t="str">
        <f t="shared" si="5"/>
        <v>26/9/2025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IFERROR(__xludf.DUMMYFUNCTION("(VLOOKUP(J51,IMPORTRANGE(""https://docs.google.com/spreadsheets/d/1QfInhV6_YXjbJgeCXJ370Rz4ercnFoTR58xB4rzVAmY/edit?gid=1954418948#gid=1954418948"",""T9.2025!D4:I49""),6,0) &amp;"", ""&amp; TEXT(VLOOKUP(J51,IMPORTRANGE(""https://docs.google.com/spreadsheets/d/1Qf"&amp;"InhV6_YXjbJgeCXJ370Rz4ercnFoTR58xB4rzVAmY/edit?gid=1954418948#gid=1954418948"",""T9.2025!D4:I49""),5,0),""D/M/YYYY""))"),"11h00, 22/9/2025")</f>
        <v>11h00, 22/9/2025</v>
      </c>
      <c r="Q51" s="33" t="str">
        <f>IFERROR(__xludf.DUMMYFUNCTION("VLOOKUP(J51,IMPORTRANGE(""https://docs.google.com/spreadsheets/d/1QfInhV6_YXjbJgeCXJ370Rz4ercnFoTR58xB4rzVAmY/edit?gid=1954418948#gid=1954418948"",""T9.2025!D4:G49""),4,0)"),"DH311")</f>
        <v>DH311</v>
      </c>
      <c r="R51" s="25"/>
      <c r="S51" s="45" t="s">
        <v>178</v>
      </c>
      <c r="T51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51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51" s="45" t="s">
        <v>179</v>
      </c>
      <c r="W51" s="26" t="s">
        <v>180</v>
      </c>
      <c r="X51" s="37"/>
      <c r="Y51" s="38" t="str">
        <f t="shared" si="5"/>
        <v>22/9/2025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IFERROR(__xludf.DUMMYFUNCTION("(VLOOKUP(J52,IMPORTRANGE(""https://docs.google.com/spreadsheets/d/1QfInhV6_YXjbJgeCXJ370Rz4ercnFoTR58xB4rzVAmY/edit?gid=1954418948#gid=1954418948"",""T9.2025!D4:I49""),6,0) &amp;"", ""&amp; TEXT(VLOOKUP(J52,IMPORTRANGE(""https://docs.google.com/spreadsheets/d/1Qf"&amp;"InhV6_YXjbJgeCXJ370Rz4ercnFoTR58xB4rzVAmY/edit?gid=1954418948#gid=1954418948"",""T9.2025!D4:I49""),5,0),""D/M/YYYY""))"),"17h15, 29/9/2025")</f>
        <v>17h15, 29/9/2025</v>
      </c>
      <c r="Q52" s="33" t="str">
        <f>IFERROR(__xludf.DUMMYFUNCTION("VLOOKUP(J52,IMPORTRANGE(""https://docs.google.com/spreadsheets/d/1QfInhV6_YXjbJgeCXJ370Rz4ercnFoTR58xB4rzVAmY/edit?gid=1954418948#gid=1954418948"",""T9.2025!D4:G49""),4,0)"),"ĐH205")</f>
        <v>ĐH205</v>
      </c>
      <c r="R52" s="25"/>
      <c r="S52" s="45" t="s">
        <v>241</v>
      </c>
      <c r="T52" s="35" t="str">
        <f t="shared" si="3"/>
        <v>- Kế hoạch số 744/KH-ĐHSPKTHY ngày 15/9/2025
- Kế hoạch số 745/KH-ĐHSPKTHY ngày 15/9/2025:
- Kế hoạch số 746/KH-ĐHSPKTHY ngày 15/9/2025
- Kế hoạch số 747/KH-ĐHSPKTHY ngày 15/9/2025
- Kế hoạch số 748/KH-ĐHSPKTHY ngày 15/9/2025
- Triển khai các nhóm SV Khởi nghiệp, NCKH</v>
      </c>
      <c r="U52" s="43" t="str">
        <f t="shared" si="6"/>
        <v>- Triển khai TB Đăng ký thi đua tập thể cá nhân Sv năm học 2025 - 2026
- Thông báo về việc đảm bảo ATGT, PCMT, PCTP năm học 2025 - 2026
- Các nhóm SV NCKH thực hiện theo tiến độ
- 
- </v>
      </c>
      <c r="V52" s="35"/>
      <c r="W52" s="13"/>
      <c r="X52" s="37"/>
      <c r="Y52" s="38" t="str">
        <f t="shared" si="5"/>
        <v>29/9/2025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 t="str">
        <f>IFERROR(__xludf.DUMMYFUNCTION("(VLOOKUP(J53,IMPORTRANGE(""https://docs.google.com/spreadsheets/d/1QfInhV6_YXjbJgeCXJ370Rz4ercnFoTR58xB4rzVAmY/edit?gid=1954418948#gid=1954418948"",""T9.2025!D4:I49""),6,0) &amp;"", ""&amp; TEXT(VLOOKUP(J53,IMPORTRANGE(""https://docs.google.com/spreadsheets/d/1Qf"&amp;"InhV6_YXjbJgeCXJ370Rz4ercnFoTR58xB4rzVAmY/edit?gid=1954418948#gid=1954418948"",""T9.2025!D4:I49""),5,0),""D/M/YYYY""))"),"11h45, 29/9/2025")</f>
        <v>11h45, 29/9/2025</v>
      </c>
      <c r="Q53" s="33" t="str">
        <f>IFERROR(__xludf.DUMMYFUNCTION("VLOOKUP(J53,IMPORTRANGE(""https://docs.google.com/spreadsheets/d/1QfInhV6_YXjbJgeCXJ370Rz4ercnFoTR58xB4rzVAmY/edit?gid=1954418948#gid=1954418948"",""T9.2025!D4:G49""),4,0)"),"ĐH308")</f>
        <v>ĐH308</v>
      </c>
      <c r="R53" s="25"/>
      <c r="S53" s="35"/>
      <c r="T53" s="35"/>
      <c r="U53" s="43"/>
      <c r="V53" s="35"/>
      <c r="W53" s="13"/>
      <c r="X53" s="37"/>
      <c r="Y53" s="38" t="str">
        <f t="shared" si="5"/>
        <v>29/9/2025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/>
      <c r="Q54" s="33"/>
      <c r="R54" s="25"/>
      <c r="S54" s="45"/>
      <c r="T54" s="35"/>
      <c r="U54" s="43"/>
      <c r="V54" s="35"/>
      <c r="W54" s="13"/>
      <c r="X54" s="37"/>
      <c r="Y54" s="38" t="str">
        <f t="shared" si="5"/>
        <v>#VALUE!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/>
      <c r="Q55" s="33"/>
      <c r="R55" s="25"/>
      <c r="S55" s="35"/>
      <c r="T55" s="35"/>
      <c r="U55" s="43"/>
      <c r="V55" s="35"/>
      <c r="W55" s="13"/>
      <c r="X55" s="37"/>
      <c r="Y55" s="38" t="str">
        <f t="shared" si="5"/>
        <v>#VALUE!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  <dataValidation type="list" allowBlank="1" showInputMessage="1" showErrorMessage="1" prompt="Click and enter a value from the list of items" sqref="D8:D19 D26:D36">
      <formula1>"ALL,K19,K20,K21,K22"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</hyperlinks>
  <printOptions/>
  <pageMargins bottom="0.31496062992125984" footer="0.0" header="0.0" left="0.4330708661417323" right="0.1968503937007874" top="0.31496062992125984"/>
  <pageSetup paperSize="9" orientation="portrait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71"/>
    <col customWidth="1" min="2" max="2" width="24.86"/>
    <col customWidth="1" min="3" max="3" width="49.86"/>
    <col customWidth="1" min="4" max="4" width="17.57"/>
    <col customWidth="1" min="5" max="5" width="15.14"/>
    <col customWidth="1" min="6" max="6" width="13.43"/>
    <col customWidth="1" min="7" max="7" width="13.86"/>
    <col customWidth="1" min="8" max="8" width="25.29"/>
    <col customWidth="1" min="9" max="9" width="19.86"/>
    <col customWidth="1" min="10" max="10" width="16.14"/>
    <col customWidth="1" min="11" max="11" width="13.43"/>
    <col customWidth="1" min="12" max="12" width="22.57"/>
    <col customWidth="1" min="13" max="13" width="8.57"/>
    <col customWidth="1" min="14" max="14" width="31.57"/>
    <col customWidth="1" min="15" max="15" width="19.14"/>
    <col customWidth="1" min="16" max="16" width="27.14"/>
    <col customWidth="1" min="17" max="17" width="13.0"/>
    <col customWidth="1" min="18" max="18" width="8.71"/>
    <col customWidth="1" min="19" max="19" width="64.43"/>
    <col customWidth="1" min="20" max="20" width="57.29"/>
    <col customWidth="1" min="21" max="21" width="56.14"/>
    <col customWidth="1" min="22" max="22" width="24.14"/>
    <col customWidth="1" min="23" max="23" width="31.71"/>
    <col customWidth="1" min="24" max="24" width="39.29"/>
  </cols>
  <sheetData>
    <row r="1" ht="20.25" customHeight="1">
      <c r="A1" s="1" t="s">
        <v>0</v>
      </c>
      <c r="I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</row>
    <row r="2" ht="20.25" customHeight="1">
      <c r="A2" s="2" t="s">
        <v>2</v>
      </c>
      <c r="I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  <c r="AA2" s="3"/>
      <c r="AB2" s="3"/>
    </row>
    <row r="3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  <c r="Z3" s="3"/>
      <c r="AA3" s="3"/>
      <c r="AB3" s="3"/>
    </row>
    <row r="4" ht="60.75" customHeight="1">
      <c r="A4" s="4" t="s"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3"/>
    </row>
    <row r="5" ht="144.0" customHeight="1">
      <c r="A5" s="1"/>
      <c r="B5" s="5"/>
      <c r="C5" s="6" t="s">
        <v>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9"/>
      <c r="Z5" s="3"/>
      <c r="AA5" s="3"/>
      <c r="AB5" s="3"/>
    </row>
    <row r="6" ht="54.0" customHeight="1">
      <c r="A6" s="1"/>
      <c r="B6" s="10" t="s">
        <v>6</v>
      </c>
      <c r="C6" s="11" t="s">
        <v>7</v>
      </c>
      <c r="D6" s="12">
        <v>8.0</v>
      </c>
      <c r="E6" s="5">
        <v>2025.0</v>
      </c>
      <c r="F6" s="7">
        <v>0.0</v>
      </c>
      <c r="G6" s="7">
        <v>1.0</v>
      </c>
      <c r="H6" s="7">
        <v>2.0</v>
      </c>
      <c r="I6" s="7">
        <v>3.0</v>
      </c>
      <c r="J6" s="7">
        <v>4.0</v>
      </c>
      <c r="K6" s="7">
        <v>5.0</v>
      </c>
      <c r="L6" s="7">
        <v>6.0</v>
      </c>
      <c r="M6" s="7">
        <v>7.0</v>
      </c>
      <c r="N6" s="7">
        <v>8.0</v>
      </c>
      <c r="O6" s="7">
        <v>9.0</v>
      </c>
      <c r="P6" s="7">
        <v>10.0</v>
      </c>
      <c r="Q6" s="7">
        <v>11.0</v>
      </c>
      <c r="R6" s="7">
        <v>12.0</v>
      </c>
      <c r="S6" s="7">
        <v>13.0</v>
      </c>
      <c r="T6" s="7">
        <v>14.0</v>
      </c>
      <c r="U6" s="7">
        <v>15.0</v>
      </c>
      <c r="V6" s="7">
        <v>16.0</v>
      </c>
      <c r="W6" s="7">
        <v>17.0</v>
      </c>
      <c r="X6" s="8">
        <v>18.0</v>
      </c>
      <c r="Y6" s="9">
        <v>19.0</v>
      </c>
      <c r="Z6" s="3"/>
      <c r="AA6" s="3"/>
      <c r="AB6" s="3"/>
    </row>
    <row r="7" ht="93.0" customHeight="1">
      <c r="A7" s="1"/>
      <c r="B7" s="13"/>
      <c r="C7" s="14" t="s">
        <v>8</v>
      </c>
      <c r="D7" s="15" t="s">
        <v>9</v>
      </c>
      <c r="E7" s="15" t="s">
        <v>10</v>
      </c>
      <c r="F7" s="16" t="s">
        <v>11</v>
      </c>
      <c r="G7" s="16" t="s">
        <v>12</v>
      </c>
      <c r="H7" s="16" t="s">
        <v>13</v>
      </c>
      <c r="I7" s="17" t="s">
        <v>14</v>
      </c>
      <c r="J7" s="16" t="s">
        <v>15</v>
      </c>
      <c r="K7" s="14" t="s">
        <v>16</v>
      </c>
      <c r="L7" s="14" t="s">
        <v>17</v>
      </c>
      <c r="M7" s="18" t="s">
        <v>18</v>
      </c>
      <c r="N7" s="18" t="s">
        <v>19</v>
      </c>
      <c r="O7" s="18" t="s">
        <v>14</v>
      </c>
      <c r="P7" s="94" t="s">
        <v>20</v>
      </c>
      <c r="Q7" s="94" t="s">
        <v>21</v>
      </c>
      <c r="R7" s="20" t="s">
        <v>22</v>
      </c>
      <c r="S7" s="20" t="s">
        <v>23</v>
      </c>
      <c r="T7" s="14" t="s">
        <v>24</v>
      </c>
      <c r="U7" s="14" t="s">
        <v>25</v>
      </c>
      <c r="V7" s="20" t="s">
        <v>26</v>
      </c>
      <c r="W7" s="20" t="s">
        <v>27</v>
      </c>
      <c r="X7" s="21" t="s">
        <v>28</v>
      </c>
      <c r="Y7" s="3"/>
      <c r="Z7" s="3"/>
      <c r="AA7" s="3"/>
      <c r="AB7" s="3"/>
    </row>
    <row r="8">
      <c r="A8" s="1"/>
      <c r="B8" s="22" t="s">
        <v>29</v>
      </c>
      <c r="C8" s="23" t="s">
        <v>259</v>
      </c>
      <c r="D8" s="24" t="s">
        <v>31</v>
      </c>
      <c r="E8" s="1"/>
      <c r="F8" s="25">
        <v>1.0</v>
      </c>
      <c r="G8" s="26">
        <v>1232.0</v>
      </c>
      <c r="H8" s="27" t="s">
        <v>32</v>
      </c>
      <c r="I8" s="28" t="s">
        <v>33</v>
      </c>
      <c r="J8" s="29" t="s">
        <v>34</v>
      </c>
      <c r="K8" s="5" t="s">
        <v>35</v>
      </c>
      <c r="L8" s="30" t="s">
        <v>36</v>
      </c>
      <c r="M8" s="26">
        <v>53.0</v>
      </c>
      <c r="N8" s="31" t="s">
        <v>37</v>
      </c>
      <c r="O8" s="32" t="s">
        <v>38</v>
      </c>
      <c r="P8" s="33" t="str">
        <f>IFERROR(__xludf.DUMMYFUNCTION("(VLOOKUP(J8,IMPORTRANGE(""https://docs.google.com/spreadsheets/d/1QfInhV6_YXjbJgeCXJ370Rz4ercnFoTR58xB4rzVAmY/edit?gid=1954418948#gid=1954418948"",""T8.2025!D4:I49""),6,0) &amp;"", ""&amp; TEXT(VLOOKUP(J8,IMPORTRANGE(""https://docs.google.com/spreadsheets/d/1QfIn"&amp;"hV6_YXjbJgeCXJ370Rz4ercnFoTR58xB4rzVAmY/edit?gid=1954418948#gid=1954418948"",""T8.2025!D4:I49""),5,0),""D/M/YYYY""))"),"#N/A")</f>
        <v>#N/A</v>
      </c>
      <c r="Q8" s="33" t="str">
        <f>IFERROR(__xludf.DUMMYFUNCTION("VLOOKUP(J8,IMPORTRANGE(""https://docs.google.com/spreadsheets/d/1QfInhV6_YXjbJgeCXJ370Rz4ercnFoTR58xB4rzVAmY/edit?gid=1954418948#gid=1954418948"",""T8.2025!D4:G49""),4,0)"),"#N/A")</f>
        <v>#N/A</v>
      </c>
      <c r="R8" s="30">
        <v>3.0</v>
      </c>
      <c r="S8" s="34"/>
      <c r="T8" s="35" t="str">
        <f t="shared" ref="T8:T52" si="1">INDEX(C$20:C$23, MATCH(K8, D$20:D$23, 0))</f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8" s="36" t="s">
        <v>260</v>
      </c>
      <c r="V8" s="35"/>
      <c r="W8" s="13"/>
      <c r="X8" s="37"/>
      <c r="Y8" s="38" t="str">
        <f t="shared" ref="Y8:Y19" si="2">TRIM(MID(P8, FIND(",", P8) + 1, LEN(P8)))</f>
        <v>#N/A</v>
      </c>
      <c r="Z8" s="3"/>
      <c r="AA8" s="3"/>
      <c r="AB8" s="3"/>
    </row>
    <row r="9">
      <c r="A9" s="1"/>
      <c r="B9" s="39"/>
      <c r="C9" s="23" t="s">
        <v>261</v>
      </c>
      <c r="D9" s="24" t="s">
        <v>31</v>
      </c>
      <c r="E9" s="1"/>
      <c r="F9" s="25">
        <v>2.0</v>
      </c>
      <c r="G9" s="26">
        <v>1232.0</v>
      </c>
      <c r="H9" s="27" t="s">
        <v>32</v>
      </c>
      <c r="I9" s="28" t="s">
        <v>33</v>
      </c>
      <c r="J9" s="29" t="s">
        <v>41</v>
      </c>
      <c r="K9" s="5" t="s">
        <v>35</v>
      </c>
      <c r="L9" s="30" t="s">
        <v>36</v>
      </c>
      <c r="M9" s="26">
        <v>52.0</v>
      </c>
      <c r="N9" s="31" t="s">
        <v>42</v>
      </c>
      <c r="O9" s="40" t="s">
        <v>43</v>
      </c>
      <c r="P9" s="33" t="str">
        <f>IFERROR(__xludf.DUMMYFUNCTION("(VLOOKUP(J9,IMPORTRANGE(""https://docs.google.com/spreadsheets/d/1QfInhV6_YXjbJgeCXJ370Rz4ercnFoTR58xB4rzVAmY/edit?gid=1954418948#gid=1954418948"",""T8.2025!D4:I49""),6,0) &amp;"", ""&amp; TEXT(VLOOKUP(J9,IMPORTRANGE(""https://docs.google.com/spreadsheets/d/1QfIn"&amp;"hV6_YXjbJgeCXJ370Rz4ercnFoTR58xB4rzVAmY/edit?gid=1954418948#gid=1954418948"",""T8.2025!D4:I49""),5,0),""D/M/YYYY""))"),"#N/A")</f>
        <v>#N/A</v>
      </c>
      <c r="Q9" s="33" t="str">
        <f>IFERROR(__xludf.DUMMYFUNCTION("VLOOKUP(J9,IMPORTRANGE(""https://docs.google.com/spreadsheets/d/1QfInhV6_YXjbJgeCXJ370Rz4ercnFoTR58xB4rzVAmY/edit?gid=1954418948#gid=1954418948"",""T8.2025!D4:G49""),4,0)"),"#N/A")</f>
        <v>#N/A</v>
      </c>
      <c r="R9" s="25"/>
      <c r="S9" s="35"/>
      <c r="T9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9" s="36" t="s">
        <v>262</v>
      </c>
      <c r="V9" s="35"/>
      <c r="W9" s="13"/>
      <c r="X9" s="37"/>
      <c r="Y9" s="38" t="str">
        <f t="shared" si="2"/>
        <v>#N/A</v>
      </c>
      <c r="Z9" s="3"/>
      <c r="AA9" s="3"/>
      <c r="AB9" s="3"/>
    </row>
    <row r="10">
      <c r="A10" s="1"/>
      <c r="B10" s="39"/>
      <c r="C10" s="23" t="s">
        <v>263</v>
      </c>
      <c r="D10" s="24" t="s">
        <v>31</v>
      </c>
      <c r="E10" s="1"/>
      <c r="F10" s="25">
        <v>3.0</v>
      </c>
      <c r="G10" s="26">
        <v>1011.0</v>
      </c>
      <c r="H10" s="27" t="s">
        <v>46</v>
      </c>
      <c r="I10" s="28" t="s">
        <v>47</v>
      </c>
      <c r="J10" s="29" t="s">
        <v>48</v>
      </c>
      <c r="K10" s="5" t="s">
        <v>35</v>
      </c>
      <c r="L10" s="30" t="s">
        <v>36</v>
      </c>
      <c r="M10" s="41">
        <v>50.0</v>
      </c>
      <c r="N10" s="42"/>
      <c r="O10" s="42"/>
      <c r="P10" s="33" t="str">
        <f>IFERROR(__xludf.DUMMYFUNCTION("(VLOOKUP(J10,IMPORTRANGE(""https://docs.google.com/spreadsheets/d/1QfInhV6_YXjbJgeCXJ370Rz4ercnFoTR58xB4rzVAmY/edit?gid=1954418948#gid=1954418948"",""T8.2025!D4:I49""),6,0) &amp;"", ""&amp; TEXT(VLOOKUP(J10,IMPORTRANGE(""https://docs.google.com/spreadsheets/d/1Qf"&amp;"InhV6_YXjbJgeCXJ370Rz4ercnFoTR58xB4rzVAmY/edit?gid=1954418948#gid=1954418948"",""T8.2025!D4:I49""),5,0),""D/M/YYYY""))"),"#N/A")</f>
        <v>#N/A</v>
      </c>
      <c r="Q10" s="33" t="str">
        <f>IFERROR(__xludf.DUMMYFUNCTION("VLOOKUP(J10,IMPORTRANGE(""https://docs.google.com/spreadsheets/d/1QfInhV6_YXjbJgeCXJ370Rz4ercnFoTR58xB4rzVAmY/edit?gid=1954418948#gid=1954418948"",""T8.2025!D4:G49""),4,0)"),"#N/A")</f>
        <v>#N/A</v>
      </c>
      <c r="R10" s="25"/>
      <c r="S10" s="35"/>
      <c r="T10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0" s="43" t="str">
        <f t="array" ref="U10">INDEX(C$37:C$40, MATCH(K10, D$37:D$40, 0))</f>
        <v>#N/A</v>
      </c>
      <c r="V10" s="35"/>
      <c r="W10" s="13"/>
      <c r="X10" s="37"/>
      <c r="Y10" s="38" t="str">
        <f t="shared" si="2"/>
        <v>#N/A</v>
      </c>
      <c r="Z10" s="3"/>
      <c r="AA10" s="3"/>
      <c r="AB10" s="3"/>
    </row>
    <row r="11">
      <c r="A11" s="1"/>
      <c r="B11" s="39"/>
      <c r="C11" s="23" t="s">
        <v>264</v>
      </c>
      <c r="D11" s="24" t="s">
        <v>31</v>
      </c>
      <c r="E11" s="1"/>
      <c r="F11" s="25">
        <v>4.0</v>
      </c>
      <c r="G11" s="26">
        <v>1242.0</v>
      </c>
      <c r="H11" s="27" t="s">
        <v>50</v>
      </c>
      <c r="I11" s="28" t="s">
        <v>51</v>
      </c>
      <c r="J11" s="29" t="s">
        <v>52</v>
      </c>
      <c r="K11" s="5" t="s">
        <v>35</v>
      </c>
      <c r="L11" s="30" t="s">
        <v>36</v>
      </c>
      <c r="M11" s="26">
        <v>21.0</v>
      </c>
      <c r="N11" s="42" t="s">
        <v>265</v>
      </c>
      <c r="O11" s="44" t="s">
        <v>266</v>
      </c>
      <c r="P11" s="33" t="str">
        <f>IFERROR(__xludf.DUMMYFUNCTION("(VLOOKUP(J11,IMPORTRANGE(""https://docs.google.com/spreadsheets/d/1QfInhV6_YXjbJgeCXJ370Rz4ercnFoTR58xB4rzVAmY/edit?gid=1954418948#gid=1954418948"",""T8.2025!D4:I49""),6,0) &amp;"", ""&amp; TEXT(VLOOKUP(J11,IMPORTRANGE(""https://docs.google.com/spreadsheets/d/1Qf"&amp;"InhV6_YXjbJgeCXJ370Rz4ercnFoTR58xB4rzVAmY/edit?gid=1954418948#gid=1954418948"",""T8.2025!D4:I49""),5,0),""D/M/YYYY""))"),"#N/A")</f>
        <v>#N/A</v>
      </c>
      <c r="Q11" s="33" t="str">
        <f>IFERROR(__xludf.DUMMYFUNCTION("VLOOKUP(J11,IMPORTRANGE(""https://docs.google.com/spreadsheets/d/1QfInhV6_YXjbJgeCXJ370Rz4ercnFoTR58xB4rzVAmY/edit?gid=1954418948#gid=1954418948"",""T8.2025!D4:G49""),4,0)"),"#N/A")</f>
        <v>#N/A</v>
      </c>
      <c r="R11" s="30">
        <v>1.0</v>
      </c>
      <c r="S11" s="45" t="s">
        <v>267</v>
      </c>
      <c r="T11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1" s="36" t="s">
        <v>268</v>
      </c>
      <c r="V11" s="45" t="s">
        <v>58</v>
      </c>
      <c r="W11" s="45" t="s">
        <v>269</v>
      </c>
      <c r="X11" s="47" t="s">
        <v>58</v>
      </c>
      <c r="Y11" s="38" t="str">
        <f t="shared" si="2"/>
        <v>#N/A</v>
      </c>
      <c r="Z11" s="3"/>
      <c r="AA11" s="3"/>
      <c r="AB11" s="3"/>
    </row>
    <row r="12">
      <c r="A12" s="1"/>
      <c r="B12" s="39"/>
      <c r="C12" s="23" t="s">
        <v>270</v>
      </c>
      <c r="D12" s="24" t="s">
        <v>31</v>
      </c>
      <c r="E12" s="1"/>
      <c r="F12" s="25">
        <v>5.0</v>
      </c>
      <c r="G12" s="26">
        <v>1011.0</v>
      </c>
      <c r="H12" s="27" t="s">
        <v>46</v>
      </c>
      <c r="I12" s="28" t="s">
        <v>47</v>
      </c>
      <c r="J12" s="29" t="s">
        <v>60</v>
      </c>
      <c r="K12" s="5" t="s">
        <v>35</v>
      </c>
      <c r="L12" s="30" t="s">
        <v>36</v>
      </c>
      <c r="M12" s="41">
        <v>50.0</v>
      </c>
      <c r="N12" s="42"/>
      <c r="O12" s="42"/>
      <c r="P12" s="33" t="str">
        <f>IFERROR(__xludf.DUMMYFUNCTION("(VLOOKUP(J12,IMPORTRANGE(""https://docs.google.com/spreadsheets/d/1QfInhV6_YXjbJgeCXJ370Rz4ercnFoTR58xB4rzVAmY/edit?gid=1954418948#gid=1954418948"",""T8.2025!D4:I49""),6,0) &amp;"", ""&amp; TEXT(VLOOKUP(J12,IMPORTRANGE(""https://docs.google.com/spreadsheets/d/1Qf"&amp;"InhV6_YXjbJgeCXJ370Rz4ercnFoTR58xB4rzVAmY/edit?gid=1954418948#gid=1954418948"",""T8.2025!D4:I49""),5,0),""D/M/YYYY""))"),"#N/A")</f>
        <v>#N/A</v>
      </c>
      <c r="Q12" s="33" t="str">
        <f>IFERROR(__xludf.DUMMYFUNCTION("VLOOKUP(J12,IMPORTRANGE(""https://docs.google.com/spreadsheets/d/1QfInhV6_YXjbJgeCXJ370Rz4ercnFoTR58xB4rzVAmY/edit?gid=1954418948#gid=1954418948"",""T8.2025!D4:G49""),4,0)"),"#N/A")</f>
        <v>#N/A</v>
      </c>
      <c r="R12" s="25"/>
      <c r="S12" s="35"/>
      <c r="T12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2" s="43" t="str">
        <f t="shared" ref="U12:U52" si="3">INDEX(C$37:C$40, MATCH(K12, D$37:D$40, 0))</f>
        <v>#N/A</v>
      </c>
      <c r="V12" s="35"/>
      <c r="W12" s="13"/>
      <c r="X12" s="37"/>
      <c r="Y12" s="38" t="str">
        <f t="shared" si="2"/>
        <v>#N/A</v>
      </c>
      <c r="Z12" s="3"/>
      <c r="AA12" s="3"/>
      <c r="AB12" s="3"/>
    </row>
    <row r="13">
      <c r="A13" s="1"/>
      <c r="B13" s="48"/>
      <c r="C13" s="23" t="s">
        <v>271</v>
      </c>
      <c r="D13" s="49"/>
      <c r="E13" s="1"/>
      <c r="F13" s="25">
        <v>6.0</v>
      </c>
      <c r="G13" s="41">
        <v>1394.0</v>
      </c>
      <c r="H13" s="50" t="s">
        <v>61</v>
      </c>
      <c r="I13" s="28" t="s">
        <v>62</v>
      </c>
      <c r="J13" s="29" t="s">
        <v>63</v>
      </c>
      <c r="K13" s="5" t="s">
        <v>35</v>
      </c>
      <c r="L13" s="30" t="s">
        <v>64</v>
      </c>
      <c r="M13" s="41">
        <v>50.0</v>
      </c>
      <c r="N13" s="42"/>
      <c r="O13" s="42"/>
      <c r="P13" s="33" t="str">
        <f>IFERROR(__xludf.DUMMYFUNCTION("(VLOOKUP(J13,IMPORTRANGE(""https://docs.google.com/spreadsheets/d/1QfInhV6_YXjbJgeCXJ370Rz4ercnFoTR58xB4rzVAmY/edit?gid=1954418948#gid=1954418948"",""T8.2025!D4:I49""),6,0) &amp;"", ""&amp; TEXT(VLOOKUP(J13,IMPORTRANGE(""https://docs.google.com/spreadsheets/d/1Qf"&amp;"InhV6_YXjbJgeCXJ370Rz4ercnFoTR58xB4rzVAmY/edit?gid=1954418948#gid=1954418948"",""T8.2025!D4:I49""),5,0),""D/M/YYYY""))"),"#N/A")</f>
        <v>#N/A</v>
      </c>
      <c r="Q13" s="33" t="str">
        <f>IFERROR(__xludf.DUMMYFUNCTION("VLOOKUP(J13,IMPORTRANGE(""https://docs.google.com/spreadsheets/d/1QfInhV6_YXjbJgeCXJ370Rz4ercnFoTR58xB4rzVAmY/edit?gid=1954418948#gid=1954418948"",""T8.2025!D4:G49""),4,0)"),"#N/A")</f>
        <v>#N/A</v>
      </c>
      <c r="R13" s="25"/>
      <c r="S13" s="35"/>
      <c r="T13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3" s="43" t="str">
        <f t="shared" si="3"/>
        <v>#N/A</v>
      </c>
      <c r="V13" s="35"/>
      <c r="W13" s="13"/>
      <c r="X13" s="37"/>
      <c r="Y13" s="38" t="str">
        <f t="shared" si="2"/>
        <v>#N/A</v>
      </c>
      <c r="Z13" s="3"/>
      <c r="AA13" s="3"/>
      <c r="AB13" s="3"/>
    </row>
    <row r="14">
      <c r="A14" s="1"/>
      <c r="B14" s="51" t="s">
        <v>65</v>
      </c>
      <c r="C14" s="23" t="s">
        <v>272</v>
      </c>
      <c r="D14" s="24" t="s">
        <v>31</v>
      </c>
      <c r="E14" s="1"/>
      <c r="F14" s="25">
        <v>7.0</v>
      </c>
      <c r="G14" s="41">
        <v>1394.0</v>
      </c>
      <c r="H14" s="50" t="s">
        <v>61</v>
      </c>
      <c r="I14" s="28" t="s">
        <v>62</v>
      </c>
      <c r="J14" s="29" t="s">
        <v>67</v>
      </c>
      <c r="K14" s="5" t="s">
        <v>35</v>
      </c>
      <c r="L14" s="30" t="s">
        <v>64</v>
      </c>
      <c r="M14" s="41">
        <v>50.0</v>
      </c>
      <c r="N14" s="42"/>
      <c r="O14" s="42"/>
      <c r="P14" s="33" t="str">
        <f>IFERROR(__xludf.DUMMYFUNCTION("(VLOOKUP(J14,IMPORTRANGE(""https://docs.google.com/spreadsheets/d/1QfInhV6_YXjbJgeCXJ370Rz4ercnFoTR58xB4rzVAmY/edit?gid=1954418948#gid=1954418948"",""T8.2025!D4:I49""),6,0) &amp;"", ""&amp; TEXT(VLOOKUP(J14,IMPORTRANGE(""https://docs.google.com/spreadsheets/d/1Qf"&amp;"InhV6_YXjbJgeCXJ370Rz4ercnFoTR58xB4rzVAmY/edit?gid=1954418948#gid=1954418948"",""T8.2025!D4:I49""),5,0),""D/M/YYYY""))"),"#N/A")</f>
        <v>#N/A</v>
      </c>
      <c r="Q14" s="33" t="str">
        <f>IFERROR(__xludf.DUMMYFUNCTION("VLOOKUP(J14,IMPORTRANGE(""https://docs.google.com/spreadsheets/d/1QfInhV6_YXjbJgeCXJ370Rz4ercnFoTR58xB4rzVAmY/edit?gid=1954418948#gid=1954418948"",""T8.2025!D4:G49""),4,0)"),"#N/A")</f>
        <v>#N/A</v>
      </c>
      <c r="R14" s="25"/>
      <c r="S14" s="35"/>
      <c r="T14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4" s="43" t="str">
        <f t="shared" si="3"/>
        <v>#N/A</v>
      </c>
      <c r="V14" s="35"/>
      <c r="W14" s="13"/>
      <c r="X14" s="37"/>
      <c r="Y14" s="38" t="str">
        <f t="shared" si="2"/>
        <v>#N/A</v>
      </c>
      <c r="Z14" s="3"/>
      <c r="AA14" s="3"/>
      <c r="AB14" s="3"/>
    </row>
    <row r="15">
      <c r="A15" s="1"/>
      <c r="B15" s="39"/>
      <c r="C15" s="23" t="s">
        <v>273</v>
      </c>
      <c r="D15" s="24" t="s">
        <v>31</v>
      </c>
      <c r="E15" s="1"/>
      <c r="F15" s="25">
        <v>8.0</v>
      </c>
      <c r="G15" s="26">
        <v>1226.0</v>
      </c>
      <c r="H15" s="27" t="s">
        <v>70</v>
      </c>
      <c r="I15" s="28" t="s">
        <v>71</v>
      </c>
      <c r="J15" s="29" t="s">
        <v>72</v>
      </c>
      <c r="K15" s="5" t="s">
        <v>35</v>
      </c>
      <c r="L15" s="30" t="s">
        <v>64</v>
      </c>
      <c r="M15" s="41">
        <v>50.0</v>
      </c>
      <c r="N15" s="42"/>
      <c r="O15" s="42"/>
      <c r="P15" s="33" t="str">
        <f>IFERROR(__xludf.DUMMYFUNCTION("(VLOOKUP(J15,IMPORTRANGE(""https://docs.google.com/spreadsheets/d/1QfInhV6_YXjbJgeCXJ370Rz4ercnFoTR58xB4rzVAmY/edit?gid=1954418948#gid=1954418948"",""T8.2025!D4:I49""),6,0) &amp;"", ""&amp; TEXT(VLOOKUP(J15,IMPORTRANGE(""https://docs.google.com/spreadsheets/d/1Qf"&amp;"InhV6_YXjbJgeCXJ370Rz4ercnFoTR58xB4rzVAmY/edit?gid=1954418948#gid=1954418948"",""T8.2025!D4:I49""),5,0),""D/M/YYYY""))"),"#N/A")</f>
        <v>#N/A</v>
      </c>
      <c r="Q15" s="33" t="str">
        <f>IFERROR(__xludf.DUMMYFUNCTION("VLOOKUP(J15,IMPORTRANGE(""https://docs.google.com/spreadsheets/d/1QfInhV6_YXjbJgeCXJ370Rz4ercnFoTR58xB4rzVAmY/edit?gid=1954418948#gid=1954418948"",""T8.2025!D4:G49""),4,0)"),"#N/A")</f>
        <v>#N/A</v>
      </c>
      <c r="R15" s="25"/>
      <c r="S15" s="35"/>
      <c r="T15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5" s="43" t="str">
        <f t="shared" si="3"/>
        <v>#N/A</v>
      </c>
      <c r="V15" s="35"/>
      <c r="W15" s="13"/>
      <c r="X15" s="37"/>
      <c r="Y15" s="38" t="str">
        <f t="shared" si="2"/>
        <v>#N/A</v>
      </c>
      <c r="Z15" s="3"/>
      <c r="AA15" s="3"/>
      <c r="AB15" s="3"/>
    </row>
    <row r="16">
      <c r="A16" s="1"/>
      <c r="B16" s="39"/>
      <c r="D16" s="24"/>
      <c r="E16" s="1"/>
      <c r="F16" s="25">
        <v>9.0</v>
      </c>
      <c r="G16" s="26">
        <v>1226.0</v>
      </c>
      <c r="H16" s="27" t="s">
        <v>70</v>
      </c>
      <c r="I16" s="28" t="s">
        <v>71</v>
      </c>
      <c r="J16" s="29" t="s">
        <v>73</v>
      </c>
      <c r="K16" s="5" t="s">
        <v>35</v>
      </c>
      <c r="L16" s="30" t="s">
        <v>64</v>
      </c>
      <c r="M16" s="52">
        <v>50.0</v>
      </c>
      <c r="N16" s="42"/>
      <c r="O16" s="42"/>
      <c r="P16" s="33" t="str">
        <f>IFERROR(__xludf.DUMMYFUNCTION("(VLOOKUP(J16,IMPORTRANGE(""https://docs.google.com/spreadsheets/d/1QfInhV6_YXjbJgeCXJ370Rz4ercnFoTR58xB4rzVAmY/edit?gid=1954418948#gid=1954418948"",""T8.2025!D4:I49""),6,0) &amp;"", ""&amp; TEXT(VLOOKUP(J16,IMPORTRANGE(""https://docs.google.com/spreadsheets/d/1Qf"&amp;"InhV6_YXjbJgeCXJ370Rz4ercnFoTR58xB4rzVAmY/edit?gid=1954418948#gid=1954418948"",""T8.2025!D4:I49""),5,0),""D/M/YYYY""))"),"#N/A")</f>
        <v>#N/A</v>
      </c>
      <c r="Q16" s="33" t="str">
        <f>IFERROR(__xludf.DUMMYFUNCTION("VLOOKUP(J16,IMPORTRANGE(""https://docs.google.com/spreadsheets/d/1QfInhV6_YXjbJgeCXJ370Rz4ercnFoTR58xB4rzVAmY/edit?gid=1954418948#gid=1954418948"",""T8.2025!D4:G49""),4,0)"),"#N/A")</f>
        <v>#N/A</v>
      </c>
      <c r="R16" s="25"/>
      <c r="S16" s="35"/>
      <c r="T16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6" s="43" t="str">
        <f t="shared" si="3"/>
        <v>#N/A</v>
      </c>
      <c r="V16" s="35"/>
      <c r="W16" s="13"/>
      <c r="X16" s="37"/>
      <c r="Y16" s="38" t="str">
        <f t="shared" si="2"/>
        <v>#N/A</v>
      </c>
      <c r="Z16" s="3"/>
      <c r="AA16" s="3"/>
      <c r="AB16" s="3"/>
    </row>
    <row r="17">
      <c r="A17" s="1"/>
      <c r="B17" s="39"/>
      <c r="C17" s="23"/>
      <c r="D17" s="24"/>
      <c r="E17" s="1"/>
      <c r="F17" s="25">
        <v>10.0</v>
      </c>
      <c r="G17" s="26">
        <v>1736.0</v>
      </c>
      <c r="H17" s="27" t="s">
        <v>70</v>
      </c>
      <c r="I17" s="53">
        <v>9.62836394E8</v>
      </c>
      <c r="J17" s="54" t="s">
        <v>74</v>
      </c>
      <c r="K17" s="5" t="s">
        <v>35</v>
      </c>
      <c r="L17" s="30" t="s">
        <v>64</v>
      </c>
      <c r="M17" s="52">
        <v>50.0</v>
      </c>
      <c r="N17" s="42"/>
      <c r="O17" s="42"/>
      <c r="P17" s="33" t="str">
        <f>IFERROR(__xludf.DUMMYFUNCTION("(VLOOKUP(J17,IMPORTRANGE(""https://docs.google.com/spreadsheets/d/1QfInhV6_YXjbJgeCXJ370Rz4ercnFoTR58xB4rzVAmY/edit?gid=1954418948#gid=1954418948"",""T8.2025!D4:I49""),6,0) &amp;"", ""&amp; TEXT(VLOOKUP(J17,IMPORTRANGE(""https://docs.google.com/spreadsheets/d/1Qf"&amp;"InhV6_YXjbJgeCXJ370Rz4ercnFoTR58xB4rzVAmY/edit?gid=1954418948#gid=1954418948"",""T8.2025!D4:I49""),5,0),""D/M/YYYY""))"),"#N/A")</f>
        <v>#N/A</v>
      </c>
      <c r="Q17" s="33" t="str">
        <f>IFERROR(__xludf.DUMMYFUNCTION("VLOOKUP(J17,IMPORTRANGE(""https://docs.google.com/spreadsheets/d/1QfInhV6_YXjbJgeCXJ370Rz4ercnFoTR58xB4rzVAmY/edit?gid=1954418948#gid=1954418948"",""T8.2025!D4:G49""),4,0)"),"#N/A")</f>
        <v>#N/A</v>
      </c>
      <c r="R17" s="25"/>
      <c r="S17" s="35"/>
      <c r="T17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7" s="43" t="str">
        <f t="shared" si="3"/>
        <v>#N/A</v>
      </c>
      <c r="V17" s="35"/>
      <c r="W17" s="13"/>
      <c r="X17" s="37"/>
      <c r="Y17" s="38" t="str">
        <f t="shared" si="2"/>
        <v>#N/A</v>
      </c>
      <c r="Z17" s="3"/>
      <c r="AA17" s="3"/>
      <c r="AB17" s="3"/>
    </row>
    <row r="18">
      <c r="A18" s="1"/>
      <c r="B18" s="39"/>
      <c r="C18" s="55"/>
      <c r="D18" s="49"/>
      <c r="E18" s="1"/>
      <c r="F18" s="25">
        <v>11.0</v>
      </c>
      <c r="G18" s="26">
        <v>1215.0</v>
      </c>
      <c r="H18" s="27" t="s">
        <v>75</v>
      </c>
      <c r="I18" s="28" t="s">
        <v>76</v>
      </c>
      <c r="J18" s="29" t="s">
        <v>77</v>
      </c>
      <c r="K18" s="5" t="s">
        <v>35</v>
      </c>
      <c r="L18" s="30" t="s">
        <v>78</v>
      </c>
      <c r="M18" s="52">
        <v>25.0</v>
      </c>
      <c r="N18" s="42"/>
      <c r="O18" s="42"/>
      <c r="P18" s="33" t="str">
        <f>IFERROR(__xludf.DUMMYFUNCTION("(VLOOKUP(J18,IMPORTRANGE(""https://docs.google.com/spreadsheets/d/1QfInhV6_YXjbJgeCXJ370Rz4ercnFoTR58xB4rzVAmY/edit?gid=1954418948#gid=1954418948"",""T8.2025!D4:I49""),6,0) &amp;"", ""&amp; TEXT(VLOOKUP(J18,IMPORTRANGE(""https://docs.google.com/spreadsheets/d/1Qf"&amp;"InhV6_YXjbJgeCXJ370Rz4ercnFoTR58xB4rzVAmY/edit?gid=1954418948#gid=1954418948"",""T8.2025!D4:I49""),5,0),""D/M/YYYY""))"),", 30/12/1899")</f>
        <v>, 30/12/1899</v>
      </c>
      <c r="Q18" s="33" t="str">
        <f>IFERROR(__xludf.DUMMYFUNCTION("VLOOKUP(J18,IMPORTRANGE(""https://docs.google.com/spreadsheets/d/1QfInhV6_YXjbJgeCXJ370Rz4ercnFoTR58xB4rzVAmY/edit?gid=1954418948#gid=1954418948"",""T8.2025!D4:G49""),4,0)"),"")</f>
        <v/>
      </c>
      <c r="R18" s="25"/>
      <c r="S18" s="35"/>
      <c r="T18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8" s="43" t="str">
        <f t="shared" si="3"/>
        <v>#N/A</v>
      </c>
      <c r="V18" s="35"/>
      <c r="W18" s="13"/>
      <c r="X18" s="37"/>
      <c r="Y18" s="38" t="str">
        <f t="shared" si="2"/>
        <v>30/12/1899</v>
      </c>
      <c r="Z18" s="3"/>
      <c r="AA18" s="3"/>
      <c r="AB18" s="3"/>
    </row>
    <row r="19">
      <c r="A19" s="1"/>
      <c r="B19" s="48"/>
      <c r="C19" s="55"/>
      <c r="D19" s="49"/>
      <c r="E19" s="1"/>
      <c r="F19" s="25">
        <v>12.0</v>
      </c>
      <c r="G19" s="26">
        <v>1215.0</v>
      </c>
      <c r="H19" s="27" t="s">
        <v>75</v>
      </c>
      <c r="I19" s="28" t="s">
        <v>76</v>
      </c>
      <c r="J19" s="29" t="s">
        <v>81</v>
      </c>
      <c r="K19" s="5" t="s">
        <v>35</v>
      </c>
      <c r="L19" s="30" t="s">
        <v>78</v>
      </c>
      <c r="M19" s="52">
        <v>50.0</v>
      </c>
      <c r="N19" s="42"/>
      <c r="O19" s="42"/>
      <c r="P19" s="33" t="str">
        <f>IFERROR(__xludf.DUMMYFUNCTION("(VLOOKUP(J19,IMPORTRANGE(""https://docs.google.com/spreadsheets/d/1QfInhV6_YXjbJgeCXJ370Rz4ercnFoTR58xB4rzVAmY/edit?gid=1954418948#gid=1954418948"",""T8.2025!D4:I49""),6,0) &amp;"", ""&amp; TEXT(VLOOKUP(J19,IMPORTRANGE(""https://docs.google.com/spreadsheets/d/1Qf"&amp;"InhV6_YXjbJgeCXJ370Rz4ercnFoTR58xB4rzVAmY/edit?gid=1954418948#gid=1954418948"",""T8.2025!D4:I49""),5,0),""D/M/YYYY""))"),"#N/A")</f>
        <v>#N/A</v>
      </c>
      <c r="Q19" s="33" t="str">
        <f>IFERROR(__xludf.DUMMYFUNCTION("VLOOKUP(J19,IMPORTRANGE(""https://docs.google.com/spreadsheets/d/1QfInhV6_YXjbJgeCXJ370Rz4ercnFoTR58xB4rzVAmY/edit?gid=1954418948#gid=1954418948"",""T8.2025!D4:G49""),4,0)"),"#N/A")</f>
        <v>#N/A</v>
      </c>
      <c r="R19" s="25"/>
      <c r="S19" s="35"/>
      <c r="T19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19" s="43" t="str">
        <f t="shared" si="3"/>
        <v>#N/A</v>
      </c>
      <c r="V19" s="35"/>
      <c r="W19" s="13"/>
      <c r="X19" s="37"/>
      <c r="Y19" s="38" t="str">
        <f t="shared" si="2"/>
        <v>#N/A</v>
      </c>
      <c r="Z19" s="3"/>
      <c r="AA19" s="3"/>
      <c r="AB19" s="3"/>
    </row>
    <row r="20" ht="85.5" customHeight="1">
      <c r="A20" s="1"/>
      <c r="B20" s="51" t="s">
        <v>84</v>
      </c>
      <c r="C20" s="58" t="str">
        <f>IFERROR(__xludf.DUMMYFUNCTION("JOIN(CHAR(10), FILTER(""- "" &amp; C$8:C$19, (D$8:D$19 = ""ALL"") + (D$8:D$19 = D20)))"),"-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khai"&amp;" các nhiệm vụ năm học")</f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D20" s="24" t="s">
        <v>35</v>
      </c>
      <c r="E20" s="1"/>
      <c r="F20" s="25">
        <v>13.0</v>
      </c>
      <c r="G20" s="41">
        <v>1228.0</v>
      </c>
      <c r="H20" s="50" t="s">
        <v>85</v>
      </c>
      <c r="I20" s="28" t="s">
        <v>86</v>
      </c>
      <c r="J20" s="59" t="s">
        <v>87</v>
      </c>
      <c r="K20" s="5" t="s">
        <v>69</v>
      </c>
      <c r="L20" s="30" t="s">
        <v>64</v>
      </c>
      <c r="M20" s="60">
        <v>25.0</v>
      </c>
      <c r="N20" s="42" t="s">
        <v>88</v>
      </c>
      <c r="O20" s="42">
        <v>8.38184475E8</v>
      </c>
      <c r="P20" s="33" t="str">
        <f>IFERROR(__xludf.DUMMYFUNCTION("(VLOOKUP(J20,IMPORTRANGE(""https://docs.google.com/spreadsheets/d/1QfInhV6_YXjbJgeCXJ370Rz4ercnFoTR58xB4rzVAmY/edit?gid=1954418948#gid=1954418948"",""T8.2025!D4:I49""),6,0) &amp;"", ""&amp; TEXT(VLOOKUP(J20,IMPORTRANGE(""https://docs.google.com/spreadsheets/d/1Qf"&amp;"InhV6_YXjbJgeCXJ370Rz4ercnFoTR58xB4rzVAmY/edit?gid=1954418948#gid=1954418948"",""T8.2025!D4:I49""),5,0),""D/M/YYYY""))"),"11h, 4/9/2025")</f>
        <v>11h, 4/9/2025</v>
      </c>
      <c r="Q20" s="33">
        <f>IFERROR(__xludf.DUMMYFUNCTION("VLOOKUP(J20,IMPORTRANGE(""https://docs.google.com/spreadsheets/d/1QfInhV6_YXjbJgeCXJ370Rz4ercnFoTR58xB4rzVAmY/edit?gid=1954418948#gid=1954418948"",""T8.2025!D4:G49""),4,0)"),304.0)</f>
        <v>304</v>
      </c>
      <c r="R20" s="25"/>
      <c r="S20" s="35"/>
      <c r="T20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0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0" s="35"/>
      <c r="W20" s="13"/>
      <c r="X20" s="37"/>
      <c r="Y20" s="38"/>
      <c r="Z20" s="3"/>
      <c r="AA20" s="3"/>
      <c r="AB20" s="3"/>
    </row>
    <row r="21">
      <c r="A21" s="1"/>
      <c r="B21" s="39"/>
      <c r="C21" s="58" t="str">
        <f>IFERROR(__xludf.DUMMYFUNCTION("JOIN(CHAR(10), FILTER(""- "" &amp; C$8:C$19, (D$8:D$19 = ""ALL"") + (D$8:D$19 = D21)))"),"-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khai"&amp;" các nhiệm vụ năm học")</f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D21" s="24" t="s">
        <v>69</v>
      </c>
      <c r="E21" s="1"/>
      <c r="F21" s="25">
        <v>14.0</v>
      </c>
      <c r="G21" s="41">
        <v>1228.0</v>
      </c>
      <c r="H21" s="50" t="s">
        <v>85</v>
      </c>
      <c r="I21" s="28" t="s">
        <v>86</v>
      </c>
      <c r="J21" s="59" t="s">
        <v>89</v>
      </c>
      <c r="K21" s="5" t="s">
        <v>69</v>
      </c>
      <c r="L21" s="30" t="s">
        <v>64</v>
      </c>
      <c r="M21" s="60">
        <v>31.0</v>
      </c>
      <c r="N21" s="42" t="s">
        <v>90</v>
      </c>
      <c r="O21" s="42">
        <v>3.99736658E8</v>
      </c>
      <c r="P21" s="33" t="str">
        <f>IFERROR(__xludf.DUMMYFUNCTION("(VLOOKUP(J21,IMPORTRANGE(""https://docs.google.com/spreadsheets/d/1QfInhV6_YXjbJgeCXJ370Rz4ercnFoTR58xB4rzVAmY/edit?gid=1954418948#gid=1954418948"",""T8.2025!D4:I49""),6,0) &amp;"", ""&amp; TEXT(VLOOKUP(J21,IMPORTRANGE(""https://docs.google.com/spreadsheets/d/1Qf"&amp;"InhV6_YXjbJgeCXJ370Rz4ercnFoTR58xB4rzVAmY/edit?gid=1954418948#gid=1954418948"",""T8.2025!D4:I49""),5,0),""D/M/YYYY""))"),"11h, 4/9/2025")</f>
        <v>11h, 4/9/2025</v>
      </c>
      <c r="Q21" s="33">
        <f>IFERROR(__xludf.DUMMYFUNCTION("VLOOKUP(J21,IMPORTRANGE(""https://docs.google.com/spreadsheets/d/1QfInhV6_YXjbJgeCXJ370Rz4ercnFoTR58xB4rzVAmY/edit?gid=1954418948#gid=1954418948"",""T8.2025!D4:G49""),4,0)"),304.0)</f>
        <v>304</v>
      </c>
      <c r="R21" s="25"/>
      <c r="S21" s="35"/>
      <c r="T21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1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1" s="35"/>
      <c r="W21" s="13"/>
      <c r="X21" s="37"/>
      <c r="Y21" s="38"/>
      <c r="Z21" s="3"/>
      <c r="AA21" s="3"/>
      <c r="AB21" s="3"/>
    </row>
    <row r="22" ht="128.25" customHeight="1">
      <c r="A22" s="1"/>
      <c r="B22" s="39"/>
      <c r="C22" s="58" t="str">
        <f>IFERROR(__xludf.DUMMYFUNCTION("JOIN(CHAR(10), FILTER(""- "" &amp; C$8:C$19, (D$8:D$19 = ""ALL"") + (D$8:D$19 = D22)))"),"-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khai"&amp;" các nhiệm vụ năm học")</f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D22" s="24" t="s">
        <v>91</v>
      </c>
      <c r="E22" s="1"/>
      <c r="F22" s="25">
        <v>15.0</v>
      </c>
      <c r="G22" s="41">
        <v>1216.0</v>
      </c>
      <c r="H22" s="50" t="s">
        <v>92</v>
      </c>
      <c r="I22" s="28" t="s">
        <v>93</v>
      </c>
      <c r="J22" s="59" t="s">
        <v>94</v>
      </c>
      <c r="K22" s="5" t="s">
        <v>69</v>
      </c>
      <c r="L22" s="30" t="s">
        <v>64</v>
      </c>
      <c r="M22" s="61">
        <v>38.0</v>
      </c>
      <c r="N22" s="42" t="s">
        <v>95</v>
      </c>
      <c r="O22" s="42">
        <v>3.26849054E8</v>
      </c>
      <c r="P22" s="33" t="str">
        <f>IFERROR(__xludf.DUMMYFUNCTION("(VLOOKUP(J22,IMPORTRANGE(""https://docs.google.com/spreadsheets/d/1QfInhV6_YXjbJgeCXJ370Rz4ercnFoTR58xB4rzVAmY/edit?gid=1954418948#gid=1954418948"",""T8.2025!D4:I49""),6,0) &amp;"", ""&amp; TEXT(VLOOKUP(J22,IMPORTRANGE(""https://docs.google.com/spreadsheets/d/1Qf"&amp;"InhV6_YXjbJgeCXJ370Rz4ercnFoTR58xB4rzVAmY/edit?gid=1954418948#gid=1954418948"",""T8.2025!D4:I49""),5,0),""D/M/YYYY""))"),"11h30, 29/8/2025")</f>
        <v>11h30, 29/8/2025</v>
      </c>
      <c r="Q22" s="33" t="str">
        <f>IFERROR(__xludf.DUMMYFUNCTION("VLOOKUP(J22,IMPORTRANGE(""https://docs.google.com/spreadsheets/d/1QfInhV6_YXjbJgeCXJ370Rz4ercnFoTR58xB4rzVAmY/edit?gid=1954418948#gid=1954418948"",""T8.2025!D4:G49""),4,0)"),"DH127")</f>
        <v>DH127</v>
      </c>
      <c r="R22" s="25"/>
      <c r="S22" s="35"/>
      <c r="T22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2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2" s="35"/>
      <c r="W22" s="13"/>
      <c r="X22" s="37"/>
      <c r="Y22" s="38"/>
      <c r="Z22" s="3"/>
      <c r="AA22" s="3"/>
      <c r="AB22" s="3"/>
    </row>
    <row r="23" ht="96.75" customHeight="1">
      <c r="A23" s="1"/>
      <c r="B23" s="48"/>
      <c r="C23" s="58" t="str">
        <f>IFERROR(__xludf.DUMMYFUNCTION("JOIN(CHAR(10), FILTER(""- "" &amp; C$8:C$19, (D$8:D$19 = ""ALL"") + (D$8:D$19 = D23)))"),"-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khai"&amp;" các nhiệm vụ năm học")</f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D23" s="24" t="s">
        <v>96</v>
      </c>
      <c r="E23" s="1"/>
      <c r="F23" s="25">
        <v>16.0</v>
      </c>
      <c r="G23" s="62">
        <v>1243.0</v>
      </c>
      <c r="H23" s="63" t="s">
        <v>97</v>
      </c>
      <c r="I23" s="28" t="s">
        <v>98</v>
      </c>
      <c r="J23" s="59" t="s">
        <v>99</v>
      </c>
      <c r="K23" s="5" t="s">
        <v>69</v>
      </c>
      <c r="L23" s="30" t="s">
        <v>64</v>
      </c>
      <c r="M23" s="60">
        <v>29.0</v>
      </c>
      <c r="N23" s="42" t="s">
        <v>100</v>
      </c>
      <c r="O23" s="42">
        <v>3.62261843E8</v>
      </c>
      <c r="P23" s="33" t="str">
        <f>IFERROR(__xludf.DUMMYFUNCTION("(VLOOKUP(J23,IMPORTRANGE(""https://docs.google.com/spreadsheets/d/1QfInhV6_YXjbJgeCXJ370Rz4ercnFoTR58xB4rzVAmY/edit?gid=1954418948#gid=1954418948"",""T8.2025!D4:I49""),6,0) &amp;"", ""&amp; TEXT(VLOOKUP(J23,IMPORTRANGE(""https://docs.google.com/spreadsheets/d/1Qf"&amp;"InhV6_YXjbJgeCXJ370Rz4ercnFoTR58xB4rzVAmY/edit?gid=1954418948#gid=1954418948"",""T8.2025!D4:I49""),5,0),""D/M/YYYY""))"),"11h30, 29/8/2025")</f>
        <v>11h30, 29/8/2025</v>
      </c>
      <c r="Q23" s="33" t="str">
        <f>IFERROR(__xludf.DUMMYFUNCTION("VLOOKUP(J23,IMPORTRANGE(""https://docs.google.com/spreadsheets/d/1QfInhV6_YXjbJgeCXJ370Rz4ercnFoTR58xB4rzVAmY/edit?gid=1954418948#gid=1954418948"",""T8.2025!D4:G49""),4,0)"),"DH303")</f>
        <v>DH303</v>
      </c>
      <c r="R23" s="25"/>
      <c r="S23" s="35"/>
      <c r="T23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3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3" s="35"/>
      <c r="W23" s="13"/>
      <c r="X23" s="37"/>
      <c r="Y23" s="38" t="str">
        <f t="shared" ref="Y23:Y55" si="4">TRIM(MID(P23, FIND(",", P23) + 1, LEN(P23)))</f>
        <v>29/8/2025</v>
      </c>
      <c r="Z23" s="3"/>
      <c r="AA23" s="3"/>
      <c r="AB23" s="3"/>
    </row>
    <row r="24">
      <c r="A24" s="1"/>
      <c r="B24" s="1"/>
      <c r="C24" s="1"/>
      <c r="D24" s="1"/>
      <c r="E24" s="1"/>
      <c r="F24" s="25">
        <v>17.0</v>
      </c>
      <c r="G24" s="62">
        <v>1224.0</v>
      </c>
      <c r="H24" s="63" t="s">
        <v>101</v>
      </c>
      <c r="I24" s="28" t="s">
        <v>102</v>
      </c>
      <c r="J24" s="59" t="s">
        <v>103</v>
      </c>
      <c r="K24" s="5" t="s">
        <v>69</v>
      </c>
      <c r="L24" s="30" t="s">
        <v>64</v>
      </c>
      <c r="M24" s="60">
        <v>43.0</v>
      </c>
      <c r="N24" s="42" t="s">
        <v>104</v>
      </c>
      <c r="O24" s="42">
        <v>9.81013412E8</v>
      </c>
      <c r="P24" s="33" t="str">
        <f>IFERROR(__xludf.DUMMYFUNCTION("(VLOOKUP(J24,IMPORTRANGE(""https://docs.google.com/spreadsheets/d/1QfInhV6_YXjbJgeCXJ370Rz4ercnFoTR58xB4rzVAmY/edit?gid=1954418948#gid=1954418948"",""T8.2025!D4:I49""),6,0) &amp;"", ""&amp; TEXT(VLOOKUP(J24,IMPORTRANGE(""https://docs.google.com/spreadsheets/d/1Qf"&amp;"InhV6_YXjbJgeCXJ370Rz4ercnFoTR58xB4rzVAmY/edit?gid=1954418948#gid=1954418948"",""T8.2025!D4:I49""),5,0),""D/M/YYYY""))"),"10h50, 27/8/2025")</f>
        <v>10h50, 27/8/2025</v>
      </c>
      <c r="Q24" s="33" t="str">
        <f>IFERROR(__xludf.DUMMYFUNCTION("VLOOKUP(J24,IMPORTRANGE(""https://docs.google.com/spreadsheets/d/1QfInhV6_YXjbJgeCXJ370Rz4ercnFoTR58xB4rzVAmY/edit?gid=1954418948#gid=1954418948"",""T8.2025!D4:G49""),4,0)"),"ĐH302")</f>
        <v>ĐH302</v>
      </c>
      <c r="R24" s="25"/>
      <c r="S24" s="35"/>
      <c r="T24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4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4" s="35"/>
      <c r="W24" s="13"/>
      <c r="X24" s="37"/>
      <c r="Y24" s="38" t="str">
        <f t="shared" si="4"/>
        <v>27/8/2025</v>
      </c>
      <c r="Z24" s="3"/>
      <c r="AA24" s="3"/>
      <c r="AB24" s="3"/>
    </row>
    <row r="25">
      <c r="A25" s="1"/>
      <c r="B25" s="13"/>
      <c r="C25" s="20" t="s">
        <v>105</v>
      </c>
      <c r="D25" s="64" t="s">
        <v>9</v>
      </c>
      <c r="E25" s="1"/>
      <c r="F25" s="25">
        <v>18.0</v>
      </c>
      <c r="G25" s="41">
        <v>1229.0</v>
      </c>
      <c r="H25" s="50" t="s">
        <v>106</v>
      </c>
      <c r="I25" s="28" t="s">
        <v>107</v>
      </c>
      <c r="J25" s="59" t="s">
        <v>108</v>
      </c>
      <c r="K25" s="5" t="s">
        <v>69</v>
      </c>
      <c r="L25" s="30" t="s">
        <v>36</v>
      </c>
      <c r="M25" s="60">
        <v>30.0</v>
      </c>
      <c r="N25" s="42" t="s">
        <v>109</v>
      </c>
      <c r="O25" s="42">
        <v>3.57591942E8</v>
      </c>
      <c r="P25" s="33" t="str">
        <f>IFERROR(__xludf.DUMMYFUNCTION("(VLOOKUP(J25,IMPORTRANGE(""https://docs.google.com/spreadsheets/d/1QfInhV6_YXjbJgeCXJ370Rz4ercnFoTR58xB4rzVAmY/edit?gid=1954418948#gid=1954418948"",""T8.2025!D4:I49""),6,0) &amp;"", ""&amp; TEXT(VLOOKUP(J25,IMPORTRANGE(""https://docs.google.com/spreadsheets/d/1Qf"&amp;"InhV6_YXjbJgeCXJ370Rz4ercnFoTR58xB4rzVAmY/edit?gid=1954418948#gid=1954418948"",""T8.2025!D4:I49""),5,0),""D/M/YYYY""))"),"11h00, 27/8/2025")</f>
        <v>11h00, 27/8/2025</v>
      </c>
      <c r="Q25" s="33" t="str">
        <f>IFERROR(__xludf.DUMMYFUNCTION("VLOOKUP(J25,IMPORTRANGE(""https://docs.google.com/spreadsheets/d/1QfInhV6_YXjbJgeCXJ370Rz4ercnFoTR58xB4rzVAmY/edit?gid=1954418948#gid=1954418948"",""T8.2025!D4:G49""),4,0)"),"2ĐH412")</f>
        <v>2ĐH412</v>
      </c>
      <c r="R25" s="25"/>
      <c r="S25" s="35"/>
      <c r="T25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5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5" s="35"/>
      <c r="W25" s="13"/>
      <c r="X25" s="37"/>
      <c r="Y25" s="38" t="str">
        <f t="shared" si="4"/>
        <v>27/8/2025</v>
      </c>
      <c r="Z25" s="3"/>
      <c r="AA25" s="3"/>
      <c r="AB25" s="3"/>
    </row>
    <row r="26">
      <c r="A26" s="65"/>
      <c r="B26" s="22"/>
      <c r="C26" s="23" t="s">
        <v>274</v>
      </c>
      <c r="D26" s="24" t="s">
        <v>31</v>
      </c>
      <c r="E26" s="66"/>
      <c r="F26" s="25">
        <v>20.0</v>
      </c>
      <c r="G26" s="41">
        <v>1232.0</v>
      </c>
      <c r="H26" s="50" t="s">
        <v>32</v>
      </c>
      <c r="I26" s="28" t="s">
        <v>111</v>
      </c>
      <c r="J26" s="59" t="s">
        <v>112</v>
      </c>
      <c r="K26" s="5" t="s">
        <v>69</v>
      </c>
      <c r="L26" s="30" t="s">
        <v>36</v>
      </c>
      <c r="M26" s="60">
        <v>38.0</v>
      </c>
      <c r="N26" s="42" t="s">
        <v>109</v>
      </c>
      <c r="O26" s="67">
        <v>3.3979623E8</v>
      </c>
      <c r="P26" s="33" t="str">
        <f>IFERROR(__xludf.DUMMYFUNCTION("(VLOOKUP(J26,IMPORTRANGE(""https://docs.google.com/spreadsheets/d/1QfInhV6_YXjbJgeCXJ370Rz4ercnFoTR58xB4rzVAmY/edit?gid=1954418948#gid=1954418948"",""T8.2025!D4:I49""),6,0) &amp;"", ""&amp; TEXT(VLOOKUP(J26,IMPORTRANGE(""https://docs.google.com/spreadsheets/d/1Qf"&amp;"InhV6_YXjbJgeCXJ370Rz4ercnFoTR58xB4rzVAmY/edit?gid=1954418948#gid=1954418948"",""T8.2025!D4:I49""),5,0),""D/M/YYYY""))"),"11h00, 25/8/2025")</f>
        <v>11h00, 25/8/2025</v>
      </c>
      <c r="Q26" s="33" t="str">
        <f>IFERROR(__xludf.DUMMYFUNCTION("VLOOKUP(J26,IMPORTRANGE(""https://docs.google.com/spreadsheets/d/1QfInhV6_YXjbJgeCXJ370Rz4ercnFoTR58xB4rzVAmY/edit?gid=1954418948#gid=1954418948"",""T8.2025!D4:G49""),4,0)"),"2DH301")</f>
        <v>2DH301</v>
      </c>
      <c r="R26" s="25"/>
      <c r="S26" s="35"/>
      <c r="T26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6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6" s="35"/>
      <c r="W26" s="13"/>
      <c r="X26" s="37"/>
      <c r="Y26" s="38" t="str">
        <f t="shared" si="4"/>
        <v>25/8/2025</v>
      </c>
      <c r="Z26" s="3"/>
      <c r="AA26" s="3"/>
      <c r="AB26" s="3"/>
    </row>
    <row r="27">
      <c r="A27" s="65"/>
      <c r="B27" s="39"/>
      <c r="C27" s="23"/>
      <c r="D27" s="24" t="s">
        <v>69</v>
      </c>
      <c r="E27" s="66"/>
      <c r="F27" s="25">
        <v>21.0</v>
      </c>
      <c r="G27" s="41">
        <v>1231.0</v>
      </c>
      <c r="H27" s="50" t="s">
        <v>113</v>
      </c>
      <c r="I27" s="28" t="s">
        <v>114</v>
      </c>
      <c r="J27" s="59" t="s">
        <v>115</v>
      </c>
      <c r="K27" s="5" t="s">
        <v>69</v>
      </c>
      <c r="L27" s="30" t="s">
        <v>36</v>
      </c>
      <c r="M27" s="60">
        <v>35.0</v>
      </c>
      <c r="N27" s="42" t="s">
        <v>116</v>
      </c>
      <c r="O27" s="42">
        <v>9.89551204E8</v>
      </c>
      <c r="P27" s="33" t="str">
        <f>IFERROR(__xludf.DUMMYFUNCTION("(VLOOKUP(J27,IMPORTRANGE(""https://docs.google.com/spreadsheets/d/1QfInhV6_YXjbJgeCXJ370Rz4ercnFoTR58xB4rzVAmY/edit?gid=1954418948#gid=1954418948"",""T8.2025!D4:I49""),6,0) &amp;"", ""&amp; TEXT(VLOOKUP(J27,IMPORTRANGE(""https://docs.google.com/spreadsheets/d/1Qf"&amp;"InhV6_YXjbJgeCXJ370Rz4ercnFoTR58xB4rzVAmY/edit?gid=1954418948#gid=1954418948"",""T8.2025!D4:I49""),5,0),""D/M/YYYY""))"),"11h00, 27/8/2025")</f>
        <v>11h00, 27/8/2025</v>
      </c>
      <c r="Q27" s="33" t="str">
        <f>IFERROR(__xludf.DUMMYFUNCTION("VLOOKUP(J27,IMPORTRANGE(""https://docs.google.com/spreadsheets/d/1QfInhV6_YXjbJgeCXJ370Rz4ercnFoTR58xB4rzVAmY/edit?gid=1954418948#gid=1954418948"",""T8.2025!D4:G49""),4,0)"),"HD306")</f>
        <v>HD306</v>
      </c>
      <c r="R27" s="25"/>
      <c r="S27" s="35"/>
      <c r="T27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7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7" s="35"/>
      <c r="W27" s="13"/>
      <c r="X27" s="37"/>
      <c r="Y27" s="38" t="str">
        <f t="shared" si="4"/>
        <v>27/8/2025</v>
      </c>
      <c r="Z27" s="3"/>
      <c r="AA27" s="3"/>
      <c r="AB27" s="3"/>
    </row>
    <row r="28">
      <c r="A28" s="65"/>
      <c r="B28" s="39"/>
      <c r="C28" s="55"/>
      <c r="D28" s="49"/>
      <c r="E28" s="66"/>
      <c r="F28" s="25">
        <v>22.0</v>
      </c>
      <c r="G28" s="41">
        <v>1242.0</v>
      </c>
      <c r="H28" s="50" t="s">
        <v>50</v>
      </c>
      <c r="I28" s="28" t="s">
        <v>118</v>
      </c>
      <c r="J28" s="59" t="s">
        <v>119</v>
      </c>
      <c r="K28" s="5" t="s">
        <v>69</v>
      </c>
      <c r="L28" s="30" t="s">
        <v>36</v>
      </c>
      <c r="M28" s="61">
        <v>21.0</v>
      </c>
      <c r="N28" s="42" t="s">
        <v>120</v>
      </c>
      <c r="O28" s="44" t="s">
        <v>121</v>
      </c>
      <c r="P28" s="33" t="str">
        <f>IFERROR(__xludf.DUMMYFUNCTION("(VLOOKUP(J28,IMPORTRANGE(""https://docs.google.com/spreadsheets/d/1QfInhV6_YXjbJgeCXJ370Rz4ercnFoTR58xB4rzVAmY/edit?gid=1954418948#gid=1954418948"",""T8.2025!D4:I49""),6,0) &amp;"", ""&amp; TEXT(VLOOKUP(J28,IMPORTRANGE(""https://docs.google.com/spreadsheets/d/1Qf"&amp;"InhV6_YXjbJgeCXJ370Rz4ercnFoTR58xB4rzVAmY/edit?gid=1954418948#gid=1954418948"",""T8.2025!D4:I49""),5,0),""D/M/YYYY""))"),"11h00, 25/8/2025")</f>
        <v>11h00, 25/8/2025</v>
      </c>
      <c r="Q28" s="33" t="str">
        <f>IFERROR(__xludf.DUMMYFUNCTION("VLOOKUP(J28,IMPORTRANGE(""https://docs.google.com/spreadsheets/d/1QfInhV6_YXjbJgeCXJ370Rz4ercnFoTR58xB4rzVAmY/edit?gid=1954418948#gid=1954418948"",""T8.2025!D4:G49""),4,0)"),"HD301A")</f>
        <v>HD301A</v>
      </c>
      <c r="R28" s="25"/>
      <c r="S28" s="45" t="s">
        <v>275</v>
      </c>
      <c r="T28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8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8" s="45" t="s">
        <v>58</v>
      </c>
      <c r="W28" s="70" t="s">
        <v>58</v>
      </c>
      <c r="X28" s="47" t="s">
        <v>58</v>
      </c>
      <c r="Y28" s="38" t="str">
        <f t="shared" si="4"/>
        <v>25/8/2025</v>
      </c>
      <c r="Z28" s="3"/>
      <c r="AA28" s="3"/>
      <c r="AB28" s="3"/>
    </row>
    <row r="29">
      <c r="A29" s="65"/>
      <c r="B29" s="39"/>
      <c r="C29" s="55"/>
      <c r="D29" s="24" t="s">
        <v>69</v>
      </c>
      <c r="E29" s="66"/>
      <c r="F29" s="25">
        <v>23.0</v>
      </c>
      <c r="G29" s="41">
        <v>1231.0</v>
      </c>
      <c r="H29" s="50" t="s">
        <v>113</v>
      </c>
      <c r="I29" s="28" t="s">
        <v>114</v>
      </c>
      <c r="J29" s="59" t="s">
        <v>124</v>
      </c>
      <c r="K29" s="5" t="s">
        <v>69</v>
      </c>
      <c r="L29" s="30" t="s">
        <v>36</v>
      </c>
      <c r="M29" s="60">
        <v>48.0</v>
      </c>
      <c r="N29" s="42" t="s">
        <v>125</v>
      </c>
      <c r="O29" s="42">
        <v>3.64239807E8</v>
      </c>
      <c r="P29" s="33" t="str">
        <f>IFERROR(__xludf.DUMMYFUNCTION("(VLOOKUP(J29,IMPORTRANGE(""https://docs.google.com/spreadsheets/d/1QfInhV6_YXjbJgeCXJ370Rz4ercnFoTR58xB4rzVAmY/edit?gid=1954418948#gid=1954418948"",""T8.2025!D4:I49""),6,0) &amp;"", ""&amp; TEXT(VLOOKUP(J29,IMPORTRANGE(""https://docs.google.com/spreadsheets/d/1Qf"&amp;"InhV6_YXjbJgeCXJ370Rz4ercnFoTR58xB4rzVAmY/edit?gid=1954418948#gid=1954418948"",""T8.2025!D4:I49""),5,0),""D/M/YYYY""))"),"15h00, 27/8/2025")</f>
        <v>15h00, 27/8/2025</v>
      </c>
      <c r="Q29" s="33" t="str">
        <f>IFERROR(__xludf.DUMMYFUNCTION("VLOOKUP(J29,IMPORTRANGE(""https://docs.google.com/spreadsheets/d/1QfInhV6_YXjbJgeCXJ370Rz4ercnFoTR58xB4rzVAmY/edit?gid=1954418948#gid=1954418948"",""T8.2025!D4:G49""),4,0)"),"HD306")</f>
        <v>HD306</v>
      </c>
      <c r="R29" s="25"/>
      <c r="S29" s="35"/>
      <c r="T29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29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29" s="35"/>
      <c r="W29" s="13"/>
      <c r="X29" s="37"/>
      <c r="Y29" s="38" t="str">
        <f t="shared" si="4"/>
        <v>27/8/2025</v>
      </c>
      <c r="Z29" s="3"/>
      <c r="AA29" s="3"/>
      <c r="AB29" s="3"/>
    </row>
    <row r="30">
      <c r="A30" s="65"/>
      <c r="B30" s="48"/>
      <c r="C30" s="55"/>
      <c r="D30" s="49"/>
      <c r="E30" s="66"/>
      <c r="F30" s="25">
        <v>24.0</v>
      </c>
      <c r="G30" s="41">
        <v>1215.0</v>
      </c>
      <c r="H30" s="50" t="s">
        <v>75</v>
      </c>
      <c r="I30" s="28" t="s">
        <v>126</v>
      </c>
      <c r="J30" s="59" t="s">
        <v>127</v>
      </c>
      <c r="K30" s="5" t="s">
        <v>69</v>
      </c>
      <c r="L30" s="30" t="s">
        <v>78</v>
      </c>
      <c r="M30" s="71">
        <v>24.0</v>
      </c>
      <c r="N30" s="42" t="s">
        <v>128</v>
      </c>
      <c r="O30" s="42">
        <v>9.17928625E8</v>
      </c>
      <c r="P30" s="33" t="str">
        <f>IFERROR(__xludf.DUMMYFUNCTION("(VLOOKUP(J30,IMPORTRANGE(""https://docs.google.com/spreadsheets/d/1QfInhV6_YXjbJgeCXJ370Rz4ercnFoTR58xB4rzVAmY/edit?gid=1954418948#gid=1954418948"",""T8.2025!D4:I49""),6,0) &amp;"", ""&amp; TEXT(VLOOKUP(J30,IMPORTRANGE(""https://docs.google.com/spreadsheets/d/1Qf"&amp;"InhV6_YXjbJgeCXJ370Rz4ercnFoTR58xB4rzVAmY/edit?gid=1954418948#gid=1954418948"",""T8.2025!D4:I49""),5,0),""D/M/YYYY""))"),"10h00, 21/8/2025")</f>
        <v>10h00, 21/8/2025</v>
      </c>
      <c r="Q30" s="33" t="str">
        <f>IFERROR(__xludf.DUMMYFUNCTION("VLOOKUP(J30,IMPORTRANGE(""https://docs.google.com/spreadsheets/d/1QfInhV6_YXjbJgeCXJ370Rz4ercnFoTR58xB4rzVAmY/edit?gid=1954418948#gid=1954418948"",""T8.2025!D4:G49""),4,0)"),"ĐH205")</f>
        <v>ĐH205</v>
      </c>
      <c r="R30" s="25"/>
      <c r="S30" s="45" t="s">
        <v>276</v>
      </c>
      <c r="T30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0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30" s="35"/>
      <c r="W30" s="13"/>
      <c r="X30" s="47" t="s">
        <v>130</v>
      </c>
      <c r="Y30" s="38" t="str">
        <f t="shared" si="4"/>
        <v>21/8/2025</v>
      </c>
      <c r="Z30" s="3"/>
      <c r="AA30" s="3"/>
      <c r="AB30" s="3"/>
    </row>
    <row r="31">
      <c r="A31" s="65"/>
      <c r="B31" s="51" t="s">
        <v>65</v>
      </c>
      <c r="C31" s="23" t="s">
        <v>131</v>
      </c>
      <c r="D31" s="24" t="s">
        <v>31</v>
      </c>
      <c r="E31" s="66"/>
      <c r="F31" s="25">
        <v>25.0</v>
      </c>
      <c r="G31" s="41">
        <v>1720.0</v>
      </c>
      <c r="H31" s="50" t="s">
        <v>132</v>
      </c>
      <c r="I31" s="28" t="s">
        <v>133</v>
      </c>
      <c r="J31" s="59" t="s">
        <v>134</v>
      </c>
      <c r="K31" s="5" t="s">
        <v>69</v>
      </c>
      <c r="L31" s="30" t="s">
        <v>78</v>
      </c>
      <c r="M31" s="60">
        <v>27.0</v>
      </c>
      <c r="N31" s="42" t="s">
        <v>135</v>
      </c>
      <c r="O31" s="42">
        <v>3.35689355E8</v>
      </c>
      <c r="P31" s="33" t="str">
        <f>IFERROR(__xludf.DUMMYFUNCTION("(VLOOKUP(J31,IMPORTRANGE(""https://docs.google.com/spreadsheets/d/1QfInhV6_YXjbJgeCXJ370Rz4ercnFoTR58xB4rzVAmY/edit?gid=1954418948#gid=1954418948"",""T8.2025!D4:I49""),6,0) &amp;"", ""&amp; TEXT(VLOOKUP(J31,IMPORTRANGE(""https://docs.google.com/spreadsheets/d/1Qf"&amp;"InhV6_YXjbJgeCXJ370Rz4ercnFoTR58xB4rzVAmY/edit?gid=1954418948#gid=1954418948"",""T8.2025!D4:I49""),5,0),""D/M/YYYY""))"),"#N/A")</f>
        <v>#N/A</v>
      </c>
      <c r="Q31" s="33" t="str">
        <f>IFERROR(__xludf.DUMMYFUNCTION("VLOOKUP(J31,IMPORTRANGE(""https://docs.google.com/spreadsheets/d/1QfInhV6_YXjbJgeCXJ370Rz4ercnFoTR58xB4rzVAmY/edit?gid=1954418948#gid=1954418948"",""T8.2025!D4:G49""),4,0)"),"#N/A")</f>
        <v>#N/A</v>
      </c>
      <c r="R31" s="25"/>
      <c r="S31" s="35"/>
      <c r="T31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1" s="43" t="str">
        <f t="shared" si="3"/>
        <v>- Triển khai TB nộp học phí Hk1 năm học 2025-2026
- 
- 
- Các nhóm SV NCKH thực hiện theo tiến độ
- Nhắc nhở SV trả nợ học phần, đặc biệt K20 để đảm bảo điều kiện xét TN
- 
- </v>
      </c>
      <c r="V31" s="35"/>
      <c r="W31" s="13"/>
      <c r="X31" s="37"/>
      <c r="Y31" s="38" t="str">
        <f t="shared" si="4"/>
        <v>#N/A</v>
      </c>
      <c r="Z31" s="3"/>
      <c r="AA31" s="3"/>
      <c r="AB31" s="3"/>
    </row>
    <row r="32">
      <c r="A32" s="65"/>
      <c r="B32" s="39"/>
      <c r="C32" s="23" t="s">
        <v>136</v>
      </c>
      <c r="D32" s="24" t="s">
        <v>69</v>
      </c>
      <c r="E32" s="66"/>
      <c r="F32" s="25">
        <v>26.0</v>
      </c>
      <c r="G32" s="41">
        <v>1394.0</v>
      </c>
      <c r="H32" s="50" t="s">
        <v>61</v>
      </c>
      <c r="I32" s="28" t="s">
        <v>62</v>
      </c>
      <c r="J32" s="72" t="s">
        <v>137</v>
      </c>
      <c r="K32" s="5" t="s">
        <v>91</v>
      </c>
      <c r="L32" s="30" t="s">
        <v>64</v>
      </c>
      <c r="M32" s="60">
        <v>50.0</v>
      </c>
      <c r="N32" s="33"/>
      <c r="O32" s="33"/>
      <c r="P32" s="33" t="str">
        <f>IFERROR(__xludf.DUMMYFUNCTION("(VLOOKUP(J32,IMPORTRANGE(""https://docs.google.com/spreadsheets/d/1QfInhV6_YXjbJgeCXJ370Rz4ercnFoTR58xB4rzVAmY/edit?gid=1954418948#gid=1954418948"",""T8.2025!D4:I49""),6,0) &amp;"", ""&amp; TEXT(VLOOKUP(J32,IMPORTRANGE(""https://docs.google.com/spreadsheets/d/1Qf"&amp;"InhV6_YXjbJgeCXJ370Rz4ercnFoTR58xB4rzVAmY/edit?gid=1954418948#gid=1954418948"",""T8.2025!D4:I49""),5,0),""D/M/YYYY""))"),"10h55, 3/9/2025")</f>
        <v>10h55, 3/9/2025</v>
      </c>
      <c r="Q32" s="33" t="str">
        <f>IFERROR(__xludf.DUMMYFUNCTION("VLOOKUP(J32,IMPORTRANGE(""https://docs.google.com/spreadsheets/d/1QfInhV6_YXjbJgeCXJ370Rz4ercnFoTR58xB4rzVAmY/edit?gid=1954418948#gid=1954418948"",""T8.2025!D4:G49""),4,0)"),"ĐH126")</f>
        <v>ĐH126</v>
      </c>
      <c r="R32" s="25"/>
      <c r="S32" s="35"/>
      <c r="T32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2" s="43" t="str">
        <f t="shared" si="3"/>
        <v>- Triển khai TB nộp học phí Hk1 năm học 2025-2026
- Các nhóm SV NCKH thực hiện theo tiến độ
- 
- </v>
      </c>
      <c r="V32" s="35"/>
      <c r="W32" s="13"/>
      <c r="X32" s="37"/>
      <c r="Y32" s="38" t="str">
        <f t="shared" si="4"/>
        <v>3/9/2025</v>
      </c>
      <c r="Z32" s="3"/>
      <c r="AA32" s="3"/>
      <c r="AB32" s="3"/>
    </row>
    <row r="33">
      <c r="A33" s="65"/>
      <c r="B33" s="39"/>
      <c r="C33" s="23"/>
      <c r="D33" s="24" t="s">
        <v>31</v>
      </c>
      <c r="E33" s="66"/>
      <c r="F33" s="25">
        <v>27.0</v>
      </c>
      <c r="G33" s="41">
        <v>1394.0</v>
      </c>
      <c r="H33" s="50" t="s">
        <v>61</v>
      </c>
      <c r="I33" s="28" t="s">
        <v>62</v>
      </c>
      <c r="J33" s="72" t="s">
        <v>139</v>
      </c>
      <c r="K33" s="5" t="s">
        <v>91</v>
      </c>
      <c r="L33" s="30" t="s">
        <v>64</v>
      </c>
      <c r="M33" s="60">
        <v>31.0</v>
      </c>
      <c r="N33" s="33"/>
      <c r="O33" s="33"/>
      <c r="P33" s="33" t="str">
        <f>IFERROR(__xludf.DUMMYFUNCTION("(VLOOKUP(J33,IMPORTRANGE(""https://docs.google.com/spreadsheets/d/1QfInhV6_YXjbJgeCXJ370Rz4ercnFoTR58xB4rzVAmY/edit?gid=1954418948#gid=1954418948"",""T8.2025!D4:I49""),6,0) &amp;"", ""&amp; TEXT(VLOOKUP(J33,IMPORTRANGE(""https://docs.google.com/spreadsheets/d/1Qf"&amp;"InhV6_YXjbJgeCXJ370Rz4ercnFoTR58xB4rzVAmY/edit?gid=1954418948#gid=1954418948"",""T8.2025!D4:I49""),5,0),""D/M/YYYY""))"),"16h35, 4/9/2025")</f>
        <v>16h35, 4/9/2025</v>
      </c>
      <c r="Q33" s="33" t="str">
        <f>IFERROR(__xludf.DUMMYFUNCTION("VLOOKUP(J33,IMPORTRANGE(""https://docs.google.com/spreadsheets/d/1QfInhV6_YXjbJgeCXJ370Rz4ercnFoTR58xB4rzVAmY/edit?gid=1954418948#gid=1954418948"",""T8.2025!D4:G49""),4,0)"),"ĐH512")</f>
        <v>ĐH512</v>
      </c>
      <c r="R33" s="25"/>
      <c r="S33" s="35"/>
      <c r="T33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3" s="43" t="str">
        <f t="shared" si="3"/>
        <v>- Triển khai TB nộp học phí Hk1 năm học 2025-2026
- Các nhóm SV NCKH thực hiện theo tiến độ
- 
- </v>
      </c>
      <c r="V33" s="35"/>
      <c r="W33" s="13"/>
      <c r="X33" s="37"/>
      <c r="Y33" s="38" t="str">
        <f t="shared" si="4"/>
        <v>4/9/2025</v>
      </c>
      <c r="Z33" s="3"/>
      <c r="AA33" s="3"/>
      <c r="AB33" s="3"/>
    </row>
    <row r="34">
      <c r="A34" s="65"/>
      <c r="B34" s="39"/>
      <c r="C34" s="23"/>
      <c r="D34" s="24" t="s">
        <v>31</v>
      </c>
      <c r="E34" s="66"/>
      <c r="F34" s="25">
        <v>28.0</v>
      </c>
      <c r="G34" s="13">
        <v>1243.0</v>
      </c>
      <c r="H34" s="73" t="s">
        <v>97</v>
      </c>
      <c r="I34" s="28" t="s">
        <v>98</v>
      </c>
      <c r="J34" s="72" t="s">
        <v>140</v>
      </c>
      <c r="K34" s="5" t="s">
        <v>91</v>
      </c>
      <c r="L34" s="30" t="s">
        <v>64</v>
      </c>
      <c r="M34" s="60">
        <v>26.0</v>
      </c>
      <c r="N34" s="33"/>
      <c r="O34" s="33"/>
      <c r="P34" s="33" t="str">
        <f>IFERROR(__xludf.DUMMYFUNCTION("(VLOOKUP(J34,IMPORTRANGE(""https://docs.google.com/spreadsheets/d/1QfInhV6_YXjbJgeCXJ370Rz4ercnFoTR58xB4rzVAmY/edit?gid=1954418948#gid=1954418948"",""T8.2025!D4:I49""),6,0) &amp;"", ""&amp; TEXT(VLOOKUP(J34,IMPORTRANGE(""https://docs.google.com/spreadsheets/d/1Qf"&amp;"InhV6_YXjbJgeCXJ370Rz4ercnFoTR58xB4rzVAmY/edit?gid=1954418948#gid=1954418948"",""T8.2025!D4:I49""),5,0),""D/M/YYYY""))"),"16h35, 20/8/2025")</f>
        <v>16h35, 20/8/2025</v>
      </c>
      <c r="Q34" s="33" t="str">
        <f>IFERROR(__xludf.DUMMYFUNCTION("VLOOKUP(J34,IMPORTRANGE(""https://docs.google.com/spreadsheets/d/1QfInhV6_YXjbJgeCXJ370Rz4ercnFoTR58xB4rzVAmY/edit?gid=1954418948#gid=1954418948"",""T8.2025!D4:G49""),4,0)"),"ĐH303")</f>
        <v>ĐH303</v>
      </c>
      <c r="R34" s="25"/>
      <c r="S34" s="35"/>
      <c r="T34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4" s="43" t="str">
        <f t="shared" si="3"/>
        <v>- Triển khai TB nộp học phí Hk1 năm học 2025-2026
- Các nhóm SV NCKH thực hiện theo tiến độ
- 
- </v>
      </c>
      <c r="V34" s="35"/>
      <c r="W34" s="13"/>
      <c r="X34" s="37"/>
      <c r="Y34" s="38" t="str">
        <f t="shared" si="4"/>
        <v>20/8/2025</v>
      </c>
      <c r="Z34" s="3"/>
      <c r="AA34" s="3"/>
      <c r="AB34" s="3"/>
    </row>
    <row r="35">
      <c r="A35" s="65"/>
      <c r="B35" s="39"/>
      <c r="C35" s="55"/>
      <c r="D35" s="49"/>
      <c r="E35" s="74"/>
      <c r="F35" s="25">
        <v>29.0</v>
      </c>
      <c r="G35" s="62">
        <v>1224.0</v>
      </c>
      <c r="H35" s="63" t="s">
        <v>101</v>
      </c>
      <c r="I35" s="28" t="s">
        <v>102</v>
      </c>
      <c r="J35" s="72" t="s">
        <v>141</v>
      </c>
      <c r="K35" s="5" t="s">
        <v>91</v>
      </c>
      <c r="L35" s="30" t="s">
        <v>64</v>
      </c>
      <c r="M35" s="60">
        <v>39.0</v>
      </c>
      <c r="N35" s="42"/>
      <c r="O35" s="42"/>
      <c r="P35" s="33" t="str">
        <f>IFERROR(__xludf.DUMMYFUNCTION("(VLOOKUP(J35,IMPORTRANGE(""https://docs.google.com/spreadsheets/d/1QfInhV6_YXjbJgeCXJ370Rz4ercnFoTR58xB4rzVAmY/edit?gid=1954418948#gid=1954418948"",""T8.2025!D4:I49""),6,0) &amp;"", ""&amp; TEXT(VLOOKUP(J35,IMPORTRANGE(""https://docs.google.com/spreadsheets/d/1Qf"&amp;"InhV6_YXjbJgeCXJ370Rz4ercnFoTR58xB4rzVAmY/edit?gid=1954418948#gid=1954418948"",""T8.2025!D4:I49""),5,0),""D/M/YYYY""))"),"16h20, 28/8/2025")</f>
        <v>16h20, 28/8/2025</v>
      </c>
      <c r="Q35" s="33" t="str">
        <f>IFERROR(__xludf.DUMMYFUNCTION("VLOOKUP(J35,IMPORTRANGE(""https://docs.google.com/spreadsheets/d/1QfInhV6_YXjbJgeCXJ370Rz4ercnFoTR58xB4rzVAmY/edit?gid=1954418948#gid=1954418948"",""T8.2025!D4:G49""),4,0)"),"ĐH302")</f>
        <v>ĐH302</v>
      </c>
      <c r="R35" s="25"/>
      <c r="S35" s="35"/>
      <c r="T35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5" s="43" t="str">
        <f t="shared" si="3"/>
        <v>- Triển khai TB nộp học phí Hk1 năm học 2025-2026
- Các nhóm SV NCKH thực hiện theo tiến độ
- 
- </v>
      </c>
      <c r="V35" s="35"/>
      <c r="W35" s="13"/>
      <c r="X35" s="37"/>
      <c r="Y35" s="38" t="str">
        <f t="shared" si="4"/>
        <v>28/8/2025</v>
      </c>
      <c r="Z35" s="3"/>
      <c r="AA35" s="3"/>
      <c r="AB35" s="3"/>
    </row>
    <row r="36">
      <c r="A36" s="65"/>
      <c r="B36" s="48"/>
      <c r="C36" s="55"/>
      <c r="D36" s="49"/>
      <c r="E36" s="66"/>
      <c r="F36" s="25">
        <v>30.0</v>
      </c>
      <c r="G36" s="75">
        <v>1246.0</v>
      </c>
      <c r="H36" s="76" t="s">
        <v>142</v>
      </c>
      <c r="I36" s="28" t="s">
        <v>143</v>
      </c>
      <c r="J36" s="72" t="s">
        <v>144</v>
      </c>
      <c r="K36" s="5" t="s">
        <v>91</v>
      </c>
      <c r="L36" s="30" t="s">
        <v>64</v>
      </c>
      <c r="M36" s="60">
        <v>38.0</v>
      </c>
      <c r="N36" s="42"/>
      <c r="O36" s="42"/>
      <c r="P36" s="33" t="str">
        <f>IFERROR(__xludf.DUMMYFUNCTION("(VLOOKUP(J36,IMPORTRANGE(""https://docs.google.com/spreadsheets/d/1QfInhV6_YXjbJgeCXJ370Rz4ercnFoTR58xB4rzVAmY/edit?gid=1954418948#gid=1954418948"",""T8.2025!D4:I49""),6,0) &amp;"", ""&amp; TEXT(VLOOKUP(J36,IMPORTRANGE(""https://docs.google.com/spreadsheets/d/1Qf"&amp;"InhV6_YXjbJgeCXJ370Rz4ercnFoTR58xB4rzVAmY/edit?gid=1954418948#gid=1954418948"",""T8.2025!D4:I49""),5,0),""D/M/YYYY""))"),"7h30, 4/9/2025")</f>
        <v>7h30, 4/9/2025</v>
      </c>
      <c r="Q36" s="33" t="str">
        <f>IFERROR(__xludf.DUMMYFUNCTION("VLOOKUP(J36,IMPORTRANGE(""https://docs.google.com/spreadsheets/d/1QfInhV6_YXjbJgeCXJ370Rz4ercnFoTR58xB4rzVAmY/edit?gid=1954418948#gid=1954418948"",""T8.2025!D4:G49""),4,0)"),"ĐH515")</f>
        <v>ĐH515</v>
      </c>
      <c r="R36" s="25"/>
      <c r="S36" s="35"/>
      <c r="T36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6" s="43" t="str">
        <f t="shared" si="3"/>
        <v>- Triển khai TB nộp học phí Hk1 năm học 2025-2026
- Các nhóm SV NCKH thực hiện theo tiến độ
- 
- </v>
      </c>
      <c r="V36" s="35"/>
      <c r="W36" s="13"/>
      <c r="X36" s="37"/>
      <c r="Y36" s="38" t="str">
        <f t="shared" si="4"/>
        <v>4/9/2025</v>
      </c>
      <c r="Z36" s="3"/>
      <c r="AA36" s="3"/>
      <c r="AB36" s="3"/>
    </row>
    <row r="37">
      <c r="A37" s="65"/>
      <c r="B37" s="51" t="s">
        <v>145</v>
      </c>
      <c r="C37" s="58" t="str">
        <f>IFERROR(__xludf.DUMMYFUNCTION("JOIN(CHAR(10), FILTER(""- "" &amp; C$26:C$36, (D$26:D$36 = ""ALL"") + (D$26:D$36 = D37)))"),"- Triển khai TB nộp học phí Hk1 năm học 2025-2026
- Các nhóm SV NCKH thực hiện theo tiến độ
- 
- ")</f>
        <v>- Triển khai TB nộp học phí Hk1 năm học 2025-2026
- Các nhóm SV NCKH thực hiện theo tiến độ
- 
- </v>
      </c>
      <c r="D37" s="24" t="s">
        <v>277</v>
      </c>
      <c r="E37" s="66"/>
      <c r="F37" s="25">
        <v>31.0</v>
      </c>
      <c r="G37" s="41">
        <v>1235.0</v>
      </c>
      <c r="H37" s="50" t="s">
        <v>146</v>
      </c>
      <c r="I37" s="28" t="s">
        <v>147</v>
      </c>
      <c r="J37" s="72" t="s">
        <v>148</v>
      </c>
      <c r="K37" s="5" t="s">
        <v>91</v>
      </c>
      <c r="L37" s="30" t="s">
        <v>36</v>
      </c>
      <c r="M37" s="61">
        <v>49.0</v>
      </c>
      <c r="N37" s="42" t="s">
        <v>149</v>
      </c>
      <c r="O37" s="42">
        <v>3.94124856E8</v>
      </c>
      <c r="P37" s="33" t="str">
        <f>IFERROR(__xludf.DUMMYFUNCTION("(VLOOKUP(J37,IMPORTRANGE(""https://docs.google.com/spreadsheets/d/1QfInhV6_YXjbJgeCXJ370Rz4ercnFoTR58xB4rzVAmY/edit?gid=1954418948#gid=1954418948"",""T8.2025!D4:I49""),6,0) &amp;"", ""&amp; TEXT(VLOOKUP(J37,IMPORTRANGE(""https://docs.google.com/spreadsheets/d/1Qf"&amp;"InhV6_YXjbJgeCXJ370Rz4ercnFoTR58xB4rzVAmY/edit?gid=1954418948#gid=1954418948"",""T8.2025!D4:I49""),5,0),""D/M/YYYY""))"),"9h55, 19/8/2025")</f>
        <v>9h55, 19/8/2025</v>
      </c>
      <c r="Q37" s="33" t="str">
        <f>IFERROR(__xludf.DUMMYFUNCTION("VLOOKUP(J37,IMPORTRANGE(""https://docs.google.com/spreadsheets/d/1QfInhV6_YXjbJgeCXJ370Rz4ercnFoTR58xB4rzVAmY/edit?gid=1954418948#gid=1954418948"",""T8.2025!D4:G49""),4,0)"),"2DH412")</f>
        <v>2DH412</v>
      </c>
      <c r="R37" s="25"/>
      <c r="S37" s="45"/>
      <c r="T37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7" s="43" t="str">
        <f t="shared" si="3"/>
        <v>- Triển khai TB nộp học phí Hk1 năm học 2025-2026
- Các nhóm SV NCKH thực hiện theo tiến độ
- 
- </v>
      </c>
      <c r="V37" s="45" t="s">
        <v>150</v>
      </c>
      <c r="W37" s="70" t="s">
        <v>150</v>
      </c>
      <c r="X37" s="47" t="s">
        <v>151</v>
      </c>
      <c r="Y37" s="38" t="str">
        <f t="shared" si="4"/>
        <v>19/8/2025</v>
      </c>
      <c r="Z37" s="3"/>
      <c r="AA37" s="3"/>
      <c r="AB37" s="3"/>
    </row>
    <row r="38">
      <c r="A38" s="65"/>
      <c r="B38" s="39"/>
      <c r="C38" s="58" t="str">
        <f>IFERROR(__xludf.DUMMYFUNCTION("JOIN(CHAR(10), FILTER(""- "" &amp; C$26:C$36, (D$26:D$36 = ""ALL"") + (D$26:D$36 = D38)))"),"- Triển khai TB nộp học phí Hk1 năm học 2025-2026
- 
- 
- Các nhóm SV NCKH thực hiện theo tiến độ
- Nhắc nhở SV trả nợ học phần, đặc biệt K20 để đảm bảo điều kiện xét TN
- 
- ")</f>
        <v>- Triển khai TB nộp học phí Hk1 năm học 2025-2026
- 
- 
- Các nhóm SV NCKH thực hiện theo tiến độ
- Nhắc nhở SV trả nợ học phần, đặc biệt K20 để đảm bảo điều kiện xét TN
- 
- </v>
      </c>
      <c r="D38" s="24" t="s">
        <v>69</v>
      </c>
      <c r="E38" s="66"/>
      <c r="F38" s="25">
        <v>32.0</v>
      </c>
      <c r="G38" s="41">
        <v>1235.0</v>
      </c>
      <c r="H38" s="50" t="s">
        <v>146</v>
      </c>
      <c r="I38" s="28" t="s">
        <v>147</v>
      </c>
      <c r="J38" s="72" t="s">
        <v>152</v>
      </c>
      <c r="K38" s="5" t="s">
        <v>91</v>
      </c>
      <c r="L38" s="30" t="s">
        <v>36</v>
      </c>
      <c r="M38" s="61">
        <v>50.0</v>
      </c>
      <c r="N38" s="42" t="s">
        <v>153</v>
      </c>
      <c r="O38" s="42">
        <v>3.95189842E8</v>
      </c>
      <c r="P38" s="33" t="str">
        <f>IFERROR(__xludf.DUMMYFUNCTION("(VLOOKUP(J38,IMPORTRANGE(""https://docs.google.com/spreadsheets/d/1QfInhV6_YXjbJgeCXJ370Rz4ercnFoTR58xB4rzVAmY/edit?gid=1954418948#gid=1954418948"",""T8.2025!D4:I49""),6,0) &amp;"", ""&amp; TEXT(VLOOKUP(J38,IMPORTRANGE(""https://docs.google.com/spreadsheets/d/1Qf"&amp;"InhV6_YXjbJgeCXJ370Rz4ercnFoTR58xB4rzVAmY/edit?gid=1954418948#gid=1954418948"",""T8.2025!D4:I49""),5,0),""D/M/YYYY""))"),"10h55, 19/8/2025")</f>
        <v>10h55, 19/8/2025</v>
      </c>
      <c r="Q38" s="33" t="str">
        <f>IFERROR(__xludf.DUMMYFUNCTION("VLOOKUP(J38,IMPORTRANGE(""https://docs.google.com/spreadsheets/d/1QfInhV6_YXjbJgeCXJ370Rz4ercnFoTR58xB4rzVAmY/edit?gid=1954418948#gid=1954418948"",""T8.2025!D4:G49""),4,0)"),"2DH505")</f>
        <v>2DH505</v>
      </c>
      <c r="R38" s="25"/>
      <c r="S38" s="45"/>
      <c r="T38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8" s="43" t="str">
        <f t="shared" si="3"/>
        <v>- Triển khai TB nộp học phí Hk1 năm học 2025-2026
- Các nhóm SV NCKH thực hiện theo tiến độ
- 
- </v>
      </c>
      <c r="V38" s="45" t="s">
        <v>150</v>
      </c>
      <c r="W38" s="70" t="s">
        <v>150</v>
      </c>
      <c r="X38" s="47" t="s">
        <v>151</v>
      </c>
      <c r="Y38" s="38" t="str">
        <f t="shared" si="4"/>
        <v>19/8/2025</v>
      </c>
      <c r="Z38" s="3"/>
      <c r="AA38" s="3"/>
      <c r="AB38" s="3"/>
    </row>
    <row r="39">
      <c r="A39" s="65"/>
      <c r="B39" s="39"/>
      <c r="C39" s="58" t="str">
        <f>IFERROR(__xludf.DUMMYFUNCTION("JOIN(CHAR(10), FILTER(""- "" &amp; C$26:C$36, (D$26:D$36 = ""ALL"") + (D$26:D$36 = D39)))"),"- Triển khai TB nộp học phí Hk1 năm học 2025-2026
- Các nhóm SV NCKH thực hiện theo tiến độ
- 
- ")</f>
        <v>- Triển khai TB nộp học phí Hk1 năm học 2025-2026
- Các nhóm SV NCKH thực hiện theo tiến độ
- 
- </v>
      </c>
      <c r="D39" s="24" t="s">
        <v>91</v>
      </c>
      <c r="E39" s="66"/>
      <c r="F39" s="25">
        <v>33.0</v>
      </c>
      <c r="G39" s="41">
        <v>1235.0</v>
      </c>
      <c r="H39" s="50" t="s">
        <v>146</v>
      </c>
      <c r="I39" s="28" t="s">
        <v>147</v>
      </c>
      <c r="J39" s="72" t="s">
        <v>154</v>
      </c>
      <c r="K39" s="5" t="s">
        <v>91</v>
      </c>
      <c r="L39" s="30" t="s">
        <v>36</v>
      </c>
      <c r="M39" s="61">
        <v>26.0</v>
      </c>
      <c r="N39" s="42" t="s">
        <v>155</v>
      </c>
      <c r="O39" s="42">
        <v>3.36505274E8</v>
      </c>
      <c r="P39" s="33" t="str">
        <f>IFERROR(__xludf.DUMMYFUNCTION("(VLOOKUP(J39,IMPORTRANGE(""https://docs.google.com/spreadsheets/d/1QfInhV6_YXjbJgeCXJ370Rz4ercnFoTR58xB4rzVAmY/edit?gid=1954418948#gid=1954418948"",""T8.2025!D4:I49""),6,0) &amp;"", ""&amp; TEXT(VLOOKUP(J39,IMPORTRANGE(""https://docs.google.com/spreadsheets/d/1Qf"&amp;"InhV6_YXjbJgeCXJ370Rz4ercnFoTR58xB4rzVAmY/edit?gid=1954418948#gid=1954418948"",""T8.2025!D4:I49""),5,0),""D/M/YYYY""))"),"10h55, 19/8/2025")</f>
        <v>10h55, 19/8/2025</v>
      </c>
      <c r="Q39" s="33" t="str">
        <f>IFERROR(__xludf.DUMMYFUNCTION("VLOOKUP(J39,IMPORTRANGE(""https://docs.google.com/spreadsheets/d/1QfInhV6_YXjbJgeCXJ370Rz4ercnFoTR58xB4rzVAmY/edit?gid=1954418948#gid=1954418948"",""T8.2025!D4:G49""),4,0)"),"HD405")</f>
        <v>HD405</v>
      </c>
      <c r="R39" s="25"/>
      <c r="S39" s="35"/>
      <c r="T39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39" s="43" t="str">
        <f t="shared" si="3"/>
        <v>- Triển khai TB nộp học phí Hk1 năm học 2025-2026
- Các nhóm SV NCKH thực hiện theo tiến độ
- 
- </v>
      </c>
      <c r="V39" s="45" t="s">
        <v>150</v>
      </c>
      <c r="W39" s="70" t="s">
        <v>150</v>
      </c>
      <c r="X39" s="47" t="s">
        <v>156</v>
      </c>
      <c r="Y39" s="38" t="str">
        <f t="shared" si="4"/>
        <v>19/8/2025</v>
      </c>
      <c r="Z39" s="3"/>
      <c r="AA39" s="3"/>
      <c r="AB39" s="3"/>
    </row>
    <row r="40" ht="87.0" customHeight="1">
      <c r="A40" s="65"/>
      <c r="B40" s="48"/>
      <c r="C40" s="58" t="str">
        <f>IFERROR(__xludf.DUMMYFUNCTION("JOIN(CHAR(10), FILTER(""- "" &amp; C$26:C$36, (D$26:D$36 = ""ALL"") + (D$26:D$36 = D40)))"),"- Triển khai TB nộp học phí Hk1 năm học 2025-2026
- Các nhóm SV NCKH thực hiện theo tiến độ
- 
- ")</f>
        <v>- Triển khai TB nộp học phí Hk1 năm học 2025-2026
- Các nhóm SV NCKH thực hiện theo tiến độ
- 
- </v>
      </c>
      <c r="D40" s="24" t="s">
        <v>96</v>
      </c>
      <c r="E40" s="66"/>
      <c r="F40" s="25">
        <v>34.0</v>
      </c>
      <c r="G40" s="41">
        <v>1235.0</v>
      </c>
      <c r="H40" s="50" t="s">
        <v>146</v>
      </c>
      <c r="I40" s="28" t="s">
        <v>147</v>
      </c>
      <c r="J40" s="72" t="s">
        <v>157</v>
      </c>
      <c r="K40" s="5" t="s">
        <v>91</v>
      </c>
      <c r="L40" s="30" t="s">
        <v>36</v>
      </c>
      <c r="M40" s="61">
        <v>53.0</v>
      </c>
      <c r="N40" s="42" t="s">
        <v>158</v>
      </c>
      <c r="O40" s="42">
        <v>9.69719109E8</v>
      </c>
      <c r="P40" s="33" t="str">
        <f>IFERROR(__xludf.DUMMYFUNCTION("(VLOOKUP(J40,IMPORTRANGE(""https://docs.google.com/spreadsheets/d/1QfInhV6_YXjbJgeCXJ370Rz4ercnFoTR58xB4rzVAmY/edit?gid=1954418948#gid=1954418948"",""T8.2025!D4:I49""),6,0) &amp;"", ""&amp; TEXT(VLOOKUP(J40,IMPORTRANGE(""https://docs.google.com/spreadsheets/d/1Qf"&amp;"InhV6_YXjbJgeCXJ370Rz4ercnFoTR58xB4rzVAmY/edit?gid=1954418948#gid=1954418948"",""T8.2025!D4:I49""),5,0),""D/M/YYYY""))"),"10h55, 20/00/2025")</f>
        <v>10h55, 20/00/2025</v>
      </c>
      <c r="Q40" s="33" t="str">
        <f>IFERROR(__xludf.DUMMYFUNCTION("VLOOKUP(J40,IMPORTRANGE(""https://docs.google.com/spreadsheets/d/1QfInhV6_YXjbJgeCXJ370Rz4ercnFoTR58xB4rzVAmY/edit?gid=1954418948#gid=1954418948"",""T8.2025!D4:G49""),4,0)"),"HD508")</f>
        <v>HD508</v>
      </c>
      <c r="R40" s="25"/>
      <c r="S40" s="45"/>
      <c r="T40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0" s="43" t="str">
        <f t="shared" si="3"/>
        <v>- Triển khai TB nộp học phí Hk1 năm học 2025-2026
- Các nhóm SV NCKH thực hiện theo tiến độ
- 
- </v>
      </c>
      <c r="V40" s="45" t="s">
        <v>150</v>
      </c>
      <c r="W40" s="70" t="s">
        <v>150</v>
      </c>
      <c r="X40" s="47" t="s">
        <v>151</v>
      </c>
      <c r="Y40" s="38" t="str">
        <f t="shared" si="4"/>
        <v>20/00/2025</v>
      </c>
      <c r="Z40" s="3"/>
      <c r="AA40" s="3"/>
      <c r="AB40" s="3"/>
    </row>
    <row r="41">
      <c r="A41" s="65"/>
      <c r="B41" s="77"/>
      <c r="C41" s="78"/>
      <c r="D41" s="66"/>
      <c r="E41" s="66"/>
      <c r="F41" s="25">
        <v>35.0</v>
      </c>
      <c r="G41" s="41">
        <v>1215.0</v>
      </c>
      <c r="H41" s="50" t="s">
        <v>75</v>
      </c>
      <c r="I41" s="28" t="s">
        <v>126</v>
      </c>
      <c r="J41" s="72" t="s">
        <v>159</v>
      </c>
      <c r="K41" s="5" t="s">
        <v>91</v>
      </c>
      <c r="L41" s="30" t="s">
        <v>78</v>
      </c>
      <c r="M41" s="61">
        <v>22.0</v>
      </c>
      <c r="N41" s="42" t="s">
        <v>160</v>
      </c>
      <c r="O41" s="44" t="s">
        <v>161</v>
      </c>
      <c r="P41" s="33" t="str">
        <f>IFERROR(__xludf.DUMMYFUNCTION("(VLOOKUP(J41,IMPORTRANGE(""https://docs.google.com/spreadsheets/d/1QfInhV6_YXjbJgeCXJ370Rz4ercnFoTR58xB4rzVAmY/edit?gid=1954418948#gid=1954418948"",""T8.2025!D4:I49""),6,0) &amp;"", ""&amp; TEXT(VLOOKUP(J41,IMPORTRANGE(""https://docs.google.com/spreadsheets/d/1Qf"&amp;"InhV6_YXjbJgeCXJ370Rz4ercnFoTR58xB4rzVAmY/edit?gid=1954418948#gid=1954418948"",""T8.2025!D4:I49""),5,0),""D/M/YYYY""))"),"11h00, 21/8/2025")</f>
        <v>11h00, 21/8/2025</v>
      </c>
      <c r="Q41" s="33" t="str">
        <f>IFERROR(__xludf.DUMMYFUNCTION("VLOOKUP(J41,IMPORTRANGE(""https://docs.google.com/spreadsheets/d/1QfInhV6_YXjbJgeCXJ370Rz4ercnFoTR58xB4rzVAmY/edit?gid=1954418948#gid=1954418948"",""T8.2025!D4:G49""),4,0)"),"ĐH205")</f>
        <v>ĐH205</v>
      </c>
      <c r="R41" s="25"/>
      <c r="S41" s="45" t="s">
        <v>278</v>
      </c>
      <c r="T41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1" s="43" t="str">
        <f t="shared" si="3"/>
        <v>- Triển khai TB nộp học phí Hk1 năm học 2025-2026
- Các nhóm SV NCKH thực hiện theo tiến độ
- 
- </v>
      </c>
      <c r="V41" s="35"/>
      <c r="W41" s="13"/>
      <c r="X41" s="47" t="s">
        <v>130</v>
      </c>
      <c r="Y41" s="38" t="str">
        <f t="shared" si="4"/>
        <v>21/8/2025</v>
      </c>
      <c r="Z41" s="3"/>
      <c r="AA41" s="3"/>
      <c r="AB41" s="3"/>
    </row>
    <row r="42">
      <c r="A42" s="65"/>
      <c r="B42" s="77"/>
      <c r="C42" s="78"/>
      <c r="D42" s="66"/>
      <c r="E42" s="66"/>
      <c r="F42" s="25">
        <v>36.0</v>
      </c>
      <c r="G42" s="41">
        <v>1720.0</v>
      </c>
      <c r="H42" s="50" t="s">
        <v>132</v>
      </c>
      <c r="I42" s="28" t="s">
        <v>133</v>
      </c>
      <c r="J42" s="72" t="s">
        <v>163</v>
      </c>
      <c r="K42" s="5" t="s">
        <v>91</v>
      </c>
      <c r="L42" s="30" t="s">
        <v>78</v>
      </c>
      <c r="M42" s="60">
        <v>40.0</v>
      </c>
      <c r="N42" s="42" t="s">
        <v>164</v>
      </c>
      <c r="O42" s="42">
        <v>3.97860423E8</v>
      </c>
      <c r="P42" s="33" t="str">
        <f>IFERROR(__xludf.DUMMYFUNCTION("(VLOOKUP(J42,IMPORTRANGE(""https://docs.google.com/spreadsheets/d/1QfInhV6_YXjbJgeCXJ370Rz4ercnFoTR58xB4rzVAmY/edit?gid=1954418948#gid=1954418948"",""T8.2025!D4:I49""),6,0) &amp;"", ""&amp; TEXT(VLOOKUP(J42,IMPORTRANGE(""https://docs.google.com/spreadsheets/d/1Qf"&amp;"InhV6_YXjbJgeCXJ370Rz4ercnFoTR58xB4rzVAmY/edit?gid=1954418948#gid=1954418948"",""T8.2025!D4:I49""),5,0),""D/M/YYYY""))"),"#N/A")</f>
        <v>#N/A</v>
      </c>
      <c r="Q42" s="33" t="str">
        <f>IFERROR(__xludf.DUMMYFUNCTION("VLOOKUP(J42,IMPORTRANGE(""https://docs.google.com/spreadsheets/d/1QfInhV6_YXjbJgeCXJ370Rz4ercnFoTR58xB4rzVAmY/edit?gid=1954418948#gid=1954418948"",""T8.2025!D4:G49""),4,0)"),"#N/A")</f>
        <v>#N/A</v>
      </c>
      <c r="R42" s="25"/>
      <c r="S42" s="35"/>
      <c r="T42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2" s="43" t="str">
        <f t="shared" si="3"/>
        <v>- Triển khai TB nộp học phí Hk1 năm học 2025-2026
- Các nhóm SV NCKH thực hiện theo tiến độ
- 
- </v>
      </c>
      <c r="V42" s="35"/>
      <c r="W42" s="13"/>
      <c r="X42" s="37"/>
      <c r="Y42" s="38" t="str">
        <f t="shared" si="4"/>
        <v>#N/A</v>
      </c>
      <c r="Z42" s="3"/>
      <c r="AA42" s="3"/>
      <c r="AB42" s="3"/>
    </row>
    <row r="43">
      <c r="A43" s="65"/>
      <c r="B43" s="77"/>
      <c r="C43" s="78"/>
      <c r="D43" s="66"/>
      <c r="E43" s="66"/>
      <c r="F43" s="25">
        <v>37.0</v>
      </c>
      <c r="G43" s="26">
        <v>1216.0</v>
      </c>
      <c r="H43" s="31" t="s">
        <v>92</v>
      </c>
      <c r="I43" s="28" t="s">
        <v>165</v>
      </c>
      <c r="J43" s="80" t="s">
        <v>166</v>
      </c>
      <c r="K43" s="5" t="s">
        <v>96</v>
      </c>
      <c r="L43" s="30" t="s">
        <v>64</v>
      </c>
      <c r="M43" s="61">
        <v>32.0</v>
      </c>
      <c r="N43" s="42" t="s">
        <v>167</v>
      </c>
      <c r="O43" s="42">
        <v>3.53376454E8</v>
      </c>
      <c r="P43" s="33" t="str">
        <f>IFERROR(__xludf.DUMMYFUNCTION("(VLOOKUP(J43,IMPORTRANGE(""https://docs.google.com/spreadsheets/d/1QfInhV6_YXjbJgeCXJ370Rz4ercnFoTR58xB4rzVAmY/edit?gid=1954418948#gid=1954418948"",""T8.2025!D4:I49""),6,0) &amp;"", ""&amp; TEXT(VLOOKUP(J43,IMPORTRANGE(""https://docs.google.com/spreadsheets/d/1Qf"&amp;"InhV6_YXjbJgeCXJ370Rz4ercnFoTR58xB4rzVAmY/edit?gid=1954418948#gid=1954418948"",""T8.2025!D4:I49""),5,0),""D/M/YYYY""))"),"10h55, 27/8/2025")</f>
        <v>10h55, 27/8/2025</v>
      </c>
      <c r="Q43" s="33" t="str">
        <f>IFERROR(__xludf.DUMMYFUNCTION("VLOOKUP(J43,IMPORTRANGE(""https://docs.google.com/spreadsheets/d/1QfInhV6_YXjbJgeCXJ370Rz4ercnFoTR58xB4rzVAmY/edit?gid=1954418948#gid=1954418948"",""T8.2025!D4:G49""),4,0)"),"DH304")</f>
        <v>DH304</v>
      </c>
      <c r="R43" s="25"/>
      <c r="S43" s="35"/>
      <c r="T43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3" s="43" t="str">
        <f t="shared" si="3"/>
        <v>- Triển khai TB nộp học phí Hk1 năm học 2025-2026
- Các nhóm SV NCKH thực hiện theo tiến độ
- 
- </v>
      </c>
      <c r="V43" s="35"/>
      <c r="W43" s="13"/>
      <c r="X43" s="37"/>
      <c r="Y43" s="38" t="str">
        <f t="shared" si="4"/>
        <v>27/8/2025</v>
      </c>
      <c r="Z43" s="3"/>
      <c r="AA43" s="3"/>
      <c r="AB43" s="3"/>
    </row>
    <row r="44">
      <c r="A44" s="65"/>
      <c r="B44" s="77"/>
      <c r="C44" s="78"/>
      <c r="D44" s="66"/>
      <c r="E44" s="66"/>
      <c r="F44" s="25">
        <v>38.0</v>
      </c>
      <c r="G44" s="26">
        <v>1216.0</v>
      </c>
      <c r="H44" s="31" t="s">
        <v>92</v>
      </c>
      <c r="I44" s="28" t="s">
        <v>165</v>
      </c>
      <c r="J44" s="80" t="s">
        <v>168</v>
      </c>
      <c r="K44" s="5" t="s">
        <v>96</v>
      </c>
      <c r="L44" s="30" t="s">
        <v>64</v>
      </c>
      <c r="M44" s="61">
        <v>46.0</v>
      </c>
      <c r="N44" s="81" t="s">
        <v>169</v>
      </c>
      <c r="O44" s="81">
        <v>8.27740836E8</v>
      </c>
      <c r="P44" s="33" t="str">
        <f>IFERROR(__xludf.DUMMYFUNCTION("(VLOOKUP(J44,IMPORTRANGE(""https://docs.google.com/spreadsheets/d/1QfInhV6_YXjbJgeCXJ370Rz4ercnFoTR58xB4rzVAmY/edit?gid=1954418948#gid=1954418948"",""T8.2025!D4:I49""),6,0) &amp;"", ""&amp; TEXT(VLOOKUP(J44,IMPORTRANGE(""https://docs.google.com/spreadsheets/d/1Qf"&amp;"InhV6_YXjbJgeCXJ370Rz4ercnFoTR58xB4rzVAmY/edit?gid=1954418948#gid=1954418948"",""T8.2025!D4:I49""),5,0),""D/M/YYYY""))"),"16h00, 27/8/2025")</f>
        <v>16h00, 27/8/2025</v>
      </c>
      <c r="Q44" s="33" t="str">
        <f>IFERROR(__xludf.DUMMYFUNCTION("VLOOKUP(J44,IMPORTRANGE(""https://docs.google.com/spreadsheets/d/1QfInhV6_YXjbJgeCXJ370Rz4ercnFoTR58xB4rzVAmY/edit?gid=1954418948#gid=1954418948"",""T8.2025!D4:G49""),4,0)"),"DH304")</f>
        <v>DH304</v>
      </c>
      <c r="R44" s="25"/>
      <c r="S44" s="35"/>
      <c r="T44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4" s="43" t="str">
        <f t="shared" si="3"/>
        <v>- Triển khai TB nộp học phí Hk1 năm học 2025-2026
- Các nhóm SV NCKH thực hiện theo tiến độ
- 
- </v>
      </c>
      <c r="V44" s="35"/>
      <c r="W44" s="13"/>
      <c r="X44" s="37"/>
      <c r="Y44" s="38" t="str">
        <f t="shared" si="4"/>
        <v>27/8/2025</v>
      </c>
      <c r="Z44" s="3"/>
      <c r="AA44" s="3"/>
      <c r="AB44" s="3"/>
    </row>
    <row r="45">
      <c r="A45" s="65"/>
      <c r="B45" s="82"/>
      <c r="C45" s="83"/>
      <c r="D45" s="66"/>
      <c r="E45" s="66"/>
      <c r="F45" s="25">
        <v>39.0</v>
      </c>
      <c r="G45" s="41">
        <v>1719.0</v>
      </c>
      <c r="H45" s="73" t="s">
        <v>170</v>
      </c>
      <c r="I45" s="28" t="s">
        <v>171</v>
      </c>
      <c r="J45" s="84" t="s">
        <v>172</v>
      </c>
      <c r="K45" s="5" t="s">
        <v>96</v>
      </c>
      <c r="L45" s="30" t="s">
        <v>64</v>
      </c>
      <c r="M45" s="60">
        <v>65.0</v>
      </c>
      <c r="N45" s="33"/>
      <c r="O45" s="33"/>
      <c r="P45" s="33" t="str">
        <f>IFERROR(__xludf.DUMMYFUNCTION("(VLOOKUP(J45,IMPORTRANGE(""https://docs.google.com/spreadsheets/d/1QfInhV6_YXjbJgeCXJ370Rz4ercnFoTR58xB4rzVAmY/edit?gid=1954418948#gid=1954418948"",""T8.2025!D4:I49""),6,0) &amp;"", ""&amp; TEXT(VLOOKUP(J45,IMPORTRANGE(""https://docs.google.com/spreadsheets/d/1Qf"&amp;"InhV6_YXjbJgeCXJ370Rz4ercnFoTR58xB4rzVAmY/edit?gid=1954418948#gid=1954418948"",""T8.2025!D4:I49""),5,0),""D/M/YYYY""))"),"#N/A")</f>
        <v>#N/A</v>
      </c>
      <c r="Q45" s="33" t="str">
        <f>IFERROR(__xludf.DUMMYFUNCTION("VLOOKUP(J45,IMPORTRANGE(""https://docs.google.com/spreadsheets/d/1QfInhV6_YXjbJgeCXJ370Rz4ercnFoTR58xB4rzVAmY/edit?gid=1954418948#gid=1954418948"",""T8.2025!D4:G49""),4,0)"),"#N/A")</f>
        <v>#N/A</v>
      </c>
      <c r="R45" s="25"/>
      <c r="S45" s="35"/>
      <c r="T45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5" s="43" t="str">
        <f t="shared" si="3"/>
        <v>- Triển khai TB nộp học phí Hk1 năm học 2025-2026
- Các nhóm SV NCKH thực hiện theo tiến độ
- 
- </v>
      </c>
      <c r="V45" s="35"/>
      <c r="W45" s="13"/>
      <c r="X45" s="37"/>
      <c r="Y45" s="38" t="str">
        <f t="shared" si="4"/>
        <v>#N/A</v>
      </c>
      <c r="Z45" s="3"/>
      <c r="AA45" s="3"/>
      <c r="AB45" s="3"/>
    </row>
    <row r="46">
      <c r="A46" s="65"/>
      <c r="B46" s="82"/>
      <c r="C46" s="83"/>
      <c r="D46" s="66"/>
      <c r="E46" s="66"/>
      <c r="F46" s="25">
        <v>40.0</v>
      </c>
      <c r="G46" s="41">
        <v>1719.0</v>
      </c>
      <c r="H46" s="73" t="s">
        <v>170</v>
      </c>
      <c r="I46" s="28" t="s">
        <v>171</v>
      </c>
      <c r="J46" s="84" t="s">
        <v>173</v>
      </c>
      <c r="K46" s="5" t="s">
        <v>96</v>
      </c>
      <c r="L46" s="30" t="s">
        <v>64</v>
      </c>
      <c r="M46" s="60">
        <v>65.0</v>
      </c>
      <c r="N46" s="33"/>
      <c r="O46" s="33"/>
      <c r="P46" s="33" t="str">
        <f>IFERROR(__xludf.DUMMYFUNCTION("(VLOOKUP(J46,IMPORTRANGE(""https://docs.google.com/spreadsheets/d/1QfInhV6_YXjbJgeCXJ370Rz4ercnFoTR58xB4rzVAmY/edit?gid=1954418948#gid=1954418948"",""T8.2025!D4:I49""),6,0) &amp;"", ""&amp; TEXT(VLOOKUP(J46,IMPORTRANGE(""https://docs.google.com/spreadsheets/d/1Qf"&amp;"InhV6_YXjbJgeCXJ370Rz4ercnFoTR58xB4rzVAmY/edit?gid=1954418948#gid=1954418948"",""T8.2025!D4:I49""),5,0),""D/M/YYYY""))"),"#N/A")</f>
        <v>#N/A</v>
      </c>
      <c r="Q46" s="33" t="str">
        <f>IFERROR(__xludf.DUMMYFUNCTION("VLOOKUP(J46,IMPORTRANGE(""https://docs.google.com/spreadsheets/d/1QfInhV6_YXjbJgeCXJ370Rz4ercnFoTR58xB4rzVAmY/edit?gid=1954418948#gid=1954418948"",""T8.2025!D4:G49""),4,0)"),"#N/A")</f>
        <v>#N/A</v>
      </c>
      <c r="R46" s="25"/>
      <c r="S46" s="35"/>
      <c r="T46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6" s="43" t="str">
        <f t="shared" si="3"/>
        <v>- Triển khai TB nộp học phí Hk1 năm học 2025-2026
- Các nhóm SV NCKH thực hiện theo tiến độ
- 
- </v>
      </c>
      <c r="V46" s="35"/>
      <c r="W46" s="13"/>
      <c r="X46" s="37"/>
      <c r="Y46" s="38" t="str">
        <f t="shared" si="4"/>
        <v>#N/A</v>
      </c>
      <c r="Z46" s="3"/>
      <c r="AA46" s="3"/>
      <c r="AB46" s="3"/>
    </row>
    <row r="47">
      <c r="A47" s="65"/>
      <c r="B47" s="65"/>
      <c r="C47" s="85"/>
      <c r="D47" s="66"/>
      <c r="E47" s="66"/>
      <c r="F47" s="25">
        <v>41.0</v>
      </c>
      <c r="G47" s="26">
        <v>1223.0</v>
      </c>
      <c r="H47" s="31" t="s">
        <v>174</v>
      </c>
      <c r="I47" s="28" t="s">
        <v>175</v>
      </c>
      <c r="J47" s="80" t="s">
        <v>176</v>
      </c>
      <c r="K47" s="5" t="s">
        <v>96</v>
      </c>
      <c r="L47" s="30" t="s">
        <v>36</v>
      </c>
      <c r="M47" s="61">
        <v>50.0</v>
      </c>
      <c r="N47" s="86" t="s">
        <v>177</v>
      </c>
      <c r="O47" s="87">
        <v>9.84330519E8</v>
      </c>
      <c r="P47" s="33" t="str">
        <f>IFERROR(__xludf.DUMMYFUNCTION("(VLOOKUP(J47,IMPORTRANGE(""https://docs.google.com/spreadsheets/d/1QfInhV6_YXjbJgeCXJ370Rz4ercnFoTR58xB4rzVAmY/edit?gid=1954418948#gid=1954418948"",""T8.2025!D4:I49""),6,0) &amp;"", ""&amp; TEXT(VLOOKUP(J47,IMPORTRANGE(""https://docs.google.com/spreadsheets/d/1Qf"&amp;"InhV6_YXjbJgeCXJ370Rz4ercnFoTR58xB4rzVAmY/edit?gid=1954418948#gid=1954418948"",""T8.2025!D4:I49""),5,0),""D/M/YYYY""))"),"13h, 14/8/2025")</f>
        <v>13h, 14/8/2025</v>
      </c>
      <c r="Q47" s="33" t="str">
        <f>IFERROR(__xludf.DUMMYFUNCTION("VLOOKUP(J47,IMPORTRANGE(""https://docs.google.com/spreadsheets/d/1QfInhV6_YXjbJgeCXJ370Rz4ercnFoTR58xB4rzVAmY/edit?gid=1954418948#gid=1954418948"",""T8.2025!D4:G49""),4,0)"),"ĐH304")</f>
        <v>ĐH304</v>
      </c>
      <c r="R47" s="25"/>
      <c r="S47" s="45" t="s">
        <v>178</v>
      </c>
      <c r="T47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7" s="43" t="str">
        <f t="shared" si="3"/>
        <v>- Triển khai TB nộp học phí Hk1 năm học 2025-2026
- Các nhóm SV NCKH thực hiện theo tiến độ
- 
- </v>
      </c>
      <c r="V47" s="45" t="s">
        <v>179</v>
      </c>
      <c r="W47" s="26" t="s">
        <v>180</v>
      </c>
      <c r="X47" s="37"/>
      <c r="Y47" s="38" t="str">
        <f t="shared" si="4"/>
        <v>14/8/2025</v>
      </c>
      <c r="Z47" s="3"/>
      <c r="AA47" s="3"/>
      <c r="AB47" s="3"/>
    </row>
    <row r="48">
      <c r="A48" s="65"/>
      <c r="B48" s="65"/>
      <c r="C48" s="85"/>
      <c r="D48" s="66"/>
      <c r="E48" s="66"/>
      <c r="F48" s="25">
        <v>42.0</v>
      </c>
      <c r="G48" s="26">
        <v>1223.0</v>
      </c>
      <c r="H48" s="31" t="s">
        <v>174</v>
      </c>
      <c r="I48" s="28" t="s">
        <v>175</v>
      </c>
      <c r="J48" s="80" t="s">
        <v>181</v>
      </c>
      <c r="K48" s="5" t="s">
        <v>96</v>
      </c>
      <c r="L48" s="30" t="s">
        <v>36</v>
      </c>
      <c r="M48" s="61">
        <v>50.0</v>
      </c>
      <c r="N48" s="88" t="s">
        <v>182</v>
      </c>
      <c r="O48" s="89">
        <v>3.52518829E8</v>
      </c>
      <c r="P48" s="33" t="str">
        <f>IFERROR(__xludf.DUMMYFUNCTION("(VLOOKUP(J48,IMPORTRANGE(""https://docs.google.com/spreadsheets/d/1QfInhV6_YXjbJgeCXJ370Rz4ercnFoTR58xB4rzVAmY/edit?gid=1954418948#gid=1954418948"",""T8.2025!D4:I49""),6,0) &amp;"", ""&amp; TEXT(VLOOKUP(J48,IMPORTRANGE(""https://docs.google.com/spreadsheets/d/1Qf"&amp;"InhV6_YXjbJgeCXJ370Rz4ercnFoTR58xB4rzVAmY/edit?gid=1954418948#gid=1954418948"",""T8.2025!D4:I49""),5,0),""D/M/YYYY""))"),"15h, 14/8/2025")</f>
        <v>15h, 14/8/2025</v>
      </c>
      <c r="Q48" s="33" t="str">
        <f>IFERROR(__xludf.DUMMYFUNCTION("VLOOKUP(J48,IMPORTRANGE(""https://docs.google.com/spreadsheets/d/1QfInhV6_YXjbJgeCXJ370Rz4ercnFoTR58xB4rzVAmY/edit?gid=1954418948#gid=1954418948"",""T8.2025!D4:G49""),4,0)"),"ĐH304")</f>
        <v>ĐH304</v>
      </c>
      <c r="R48" s="25"/>
      <c r="S48" s="45" t="s">
        <v>178</v>
      </c>
      <c r="T48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8" s="43" t="str">
        <f t="shared" si="3"/>
        <v>- Triển khai TB nộp học phí Hk1 năm học 2025-2026
- Các nhóm SV NCKH thực hiện theo tiến độ
- 
- </v>
      </c>
      <c r="V48" s="45" t="s">
        <v>179</v>
      </c>
      <c r="W48" s="26" t="s">
        <v>180</v>
      </c>
      <c r="X48" s="37"/>
      <c r="Y48" s="38" t="str">
        <f t="shared" si="4"/>
        <v>14/8/2025</v>
      </c>
      <c r="Z48" s="3"/>
      <c r="AA48" s="3"/>
      <c r="AB48" s="3"/>
    </row>
    <row r="49">
      <c r="A49" s="65"/>
      <c r="B49" s="65"/>
      <c r="C49" s="85"/>
      <c r="D49" s="66"/>
      <c r="E49" s="66"/>
      <c r="F49" s="25">
        <v>43.0</v>
      </c>
      <c r="G49" s="26">
        <v>1223.0</v>
      </c>
      <c r="H49" s="31" t="s">
        <v>174</v>
      </c>
      <c r="I49" s="28" t="s">
        <v>175</v>
      </c>
      <c r="J49" s="80" t="s">
        <v>183</v>
      </c>
      <c r="K49" s="5" t="s">
        <v>96</v>
      </c>
      <c r="L49" s="30" t="s">
        <v>36</v>
      </c>
      <c r="M49" s="61">
        <v>43.0</v>
      </c>
      <c r="N49" s="90" t="s">
        <v>184</v>
      </c>
      <c r="O49" s="91">
        <v>3.43861136E8</v>
      </c>
      <c r="P49" s="33" t="str">
        <f>IFERROR(__xludf.DUMMYFUNCTION("(VLOOKUP(J49,IMPORTRANGE(""https://docs.google.com/spreadsheets/d/1QfInhV6_YXjbJgeCXJ370Rz4ercnFoTR58xB4rzVAmY/edit?gid=1954418948#gid=1954418948"",""T8.2025!D4:I49""),6,0) &amp;"", ""&amp; TEXT(VLOOKUP(J49,IMPORTRANGE(""https://docs.google.com/spreadsheets/d/1Qf"&amp;"InhV6_YXjbJgeCXJ370Rz4ercnFoTR58xB4rzVAmY/edit?gid=1954418948#gid=1954418948"",""T8.2025!D4:I49""),5,0),""D/M/YYYY""))"),"16h, 14/8/2025")</f>
        <v>16h, 14/8/2025</v>
      </c>
      <c r="Q49" s="33" t="str">
        <f>IFERROR(__xludf.DUMMYFUNCTION("VLOOKUP(J49,IMPORTRANGE(""https://docs.google.com/spreadsheets/d/1QfInhV6_YXjbJgeCXJ370Rz4ercnFoTR58xB4rzVAmY/edit?gid=1954418948#gid=1954418948"",""T8.2025!D4:G49""),4,0)"),"ĐH304")</f>
        <v>ĐH304</v>
      </c>
      <c r="R49" s="25"/>
      <c r="S49" s="45" t="s">
        <v>178</v>
      </c>
      <c r="T49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49" s="43" t="str">
        <f t="shared" si="3"/>
        <v>- Triển khai TB nộp học phí Hk1 năm học 2025-2026
- Các nhóm SV NCKH thực hiện theo tiến độ
- 
- </v>
      </c>
      <c r="V49" s="45" t="s">
        <v>179</v>
      </c>
      <c r="W49" s="26" t="s">
        <v>180</v>
      </c>
      <c r="X49" s="37"/>
      <c r="Y49" s="38" t="str">
        <f t="shared" si="4"/>
        <v>14/8/2025</v>
      </c>
      <c r="Z49" s="3"/>
      <c r="AA49" s="3"/>
      <c r="AB49" s="3"/>
    </row>
    <row r="50">
      <c r="A50" s="65"/>
      <c r="B50" s="65"/>
      <c r="C50" s="85"/>
      <c r="D50" s="66"/>
      <c r="E50" s="66"/>
      <c r="F50" s="25">
        <v>44.0</v>
      </c>
      <c r="G50" s="26">
        <v>1222.0</v>
      </c>
      <c r="H50" s="31" t="s">
        <v>185</v>
      </c>
      <c r="I50" s="28" t="s">
        <v>186</v>
      </c>
      <c r="J50" s="80" t="s">
        <v>187</v>
      </c>
      <c r="K50" s="5" t="s">
        <v>96</v>
      </c>
      <c r="L50" s="30" t="s">
        <v>36</v>
      </c>
      <c r="M50" s="61">
        <v>23.0</v>
      </c>
      <c r="N50" s="92" t="s">
        <v>188</v>
      </c>
      <c r="O50" s="92">
        <v>3.255731E8</v>
      </c>
      <c r="P50" s="33" t="str">
        <f>IFERROR(__xludf.DUMMYFUNCTION("(VLOOKUP(J50,IMPORTRANGE(""https://docs.google.com/spreadsheets/d/1QfInhV6_YXjbJgeCXJ370Rz4ercnFoTR58xB4rzVAmY/edit?gid=1954418948#gid=1954418948"",""T8.2025!D4:I49""),6,0) &amp;"", ""&amp; TEXT(VLOOKUP(J50,IMPORTRANGE(""https://docs.google.com/spreadsheets/d/1Qf"&amp;"InhV6_YXjbJgeCXJ370Rz4ercnFoTR58xB4rzVAmY/edit?gid=1954418948#gid=1954418948"",""T8.2025!D4:I49""),5,0),""D/M/YYYY""))"),"14h00, 13/8/2025")</f>
        <v>14h00, 13/8/2025</v>
      </c>
      <c r="Q50" s="33" t="str">
        <f>IFERROR(__xludf.DUMMYFUNCTION("VLOOKUP(J50,IMPORTRANGE(""https://docs.google.com/spreadsheets/d/1QfInhV6_YXjbJgeCXJ370Rz4ercnFoTR58xB4rzVAmY/edit?gid=1954418948#gid=1954418948"",""T8.2025!D4:G49""),4,0)"),"HD303A")</f>
        <v>HD303A</v>
      </c>
      <c r="R50" s="25"/>
      <c r="S50" s="45" t="s">
        <v>178</v>
      </c>
      <c r="T50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50" s="43" t="str">
        <f t="shared" si="3"/>
        <v>- Triển khai TB nộp học phí Hk1 năm học 2025-2026
- Các nhóm SV NCKH thực hiện theo tiến độ
- 
- </v>
      </c>
      <c r="V50" s="45" t="s">
        <v>179</v>
      </c>
      <c r="W50" s="70" t="s">
        <v>179</v>
      </c>
      <c r="X50" s="37"/>
      <c r="Y50" s="38" t="str">
        <f t="shared" si="4"/>
        <v>13/8/2025</v>
      </c>
      <c r="Z50" s="3"/>
      <c r="AA50" s="3"/>
      <c r="AB50" s="3"/>
    </row>
    <row r="51">
      <c r="A51" s="65"/>
      <c r="B51" s="65"/>
      <c r="C51" s="85"/>
      <c r="D51" s="66"/>
      <c r="E51" s="66"/>
      <c r="F51" s="25">
        <v>45.0</v>
      </c>
      <c r="G51" s="26">
        <v>1222.0</v>
      </c>
      <c r="H51" s="31" t="s">
        <v>185</v>
      </c>
      <c r="I51" s="28" t="s">
        <v>186</v>
      </c>
      <c r="J51" s="80" t="s">
        <v>189</v>
      </c>
      <c r="K51" s="5" t="s">
        <v>96</v>
      </c>
      <c r="L51" s="30" t="s">
        <v>36</v>
      </c>
      <c r="M51" s="61">
        <v>40.0</v>
      </c>
      <c r="N51" s="92" t="s">
        <v>190</v>
      </c>
      <c r="O51" s="92">
        <v>9.46189113E8</v>
      </c>
      <c r="P51" s="33" t="str">
        <f>IFERROR(__xludf.DUMMYFUNCTION("(VLOOKUP(J51,IMPORTRANGE(""https://docs.google.com/spreadsheets/d/1QfInhV6_YXjbJgeCXJ370Rz4ercnFoTR58xB4rzVAmY/edit?gid=1954418948#gid=1954418948"",""T8.2025!D4:I49""),6,0) &amp;"", ""&amp; TEXT(VLOOKUP(J51,IMPORTRANGE(""https://docs.google.com/spreadsheets/d/1Qf"&amp;"InhV6_YXjbJgeCXJ370Rz4ercnFoTR58xB4rzVAmY/edit?gid=1954418948#gid=1954418948"",""T8.2025!D4:I49""),5,0),""D/M/YYYY""))"),"8h00, 14/8/2025")</f>
        <v>8h00, 14/8/2025</v>
      </c>
      <c r="Q51" s="33" t="str">
        <f>IFERROR(__xludf.DUMMYFUNCTION("VLOOKUP(J51,IMPORTRANGE(""https://docs.google.com/spreadsheets/d/1QfInhV6_YXjbJgeCXJ370Rz4ercnFoTR58xB4rzVAmY/edit?gid=1954418948#gid=1954418948"",""T8.2025!D4:G49""),4,0)"),"DH205")</f>
        <v>DH205</v>
      </c>
      <c r="R51" s="25"/>
      <c r="S51" s="45" t="s">
        <v>178</v>
      </c>
      <c r="T51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51" s="43" t="str">
        <f t="shared" si="3"/>
        <v>- Triển khai TB nộp học phí Hk1 năm học 2025-2026
- Các nhóm SV NCKH thực hiện theo tiến độ
- 
- </v>
      </c>
      <c r="V51" s="45" t="s">
        <v>179</v>
      </c>
      <c r="W51" s="26" t="s">
        <v>180</v>
      </c>
      <c r="X51" s="37"/>
      <c r="Y51" s="38" t="str">
        <f t="shared" si="4"/>
        <v>14/8/2025</v>
      </c>
      <c r="Z51" s="3"/>
      <c r="AA51" s="3"/>
      <c r="AB51" s="3"/>
    </row>
    <row r="52">
      <c r="A52" s="65"/>
      <c r="B52" s="65"/>
      <c r="C52" s="85"/>
      <c r="D52" s="66"/>
      <c r="E52" s="66"/>
      <c r="F52" s="30">
        <v>46.0</v>
      </c>
      <c r="G52" s="41">
        <v>1215.0</v>
      </c>
      <c r="H52" s="50" t="s">
        <v>75</v>
      </c>
      <c r="I52" s="28" t="s">
        <v>126</v>
      </c>
      <c r="J52" s="84" t="s">
        <v>191</v>
      </c>
      <c r="K52" s="5" t="s">
        <v>96</v>
      </c>
      <c r="L52" s="30" t="s">
        <v>78</v>
      </c>
      <c r="M52" s="61">
        <v>22.0</v>
      </c>
      <c r="N52" s="42" t="s">
        <v>192</v>
      </c>
      <c r="O52" s="33"/>
      <c r="P52" s="33" t="str">
        <f>IFERROR(__xludf.DUMMYFUNCTION("(VLOOKUP(J52,IMPORTRANGE(""https://docs.google.com/spreadsheets/d/1QfInhV6_YXjbJgeCXJ370Rz4ercnFoTR58xB4rzVAmY/edit?gid=1954418948#gid=1954418948"",""T8.2025!D4:I49""),6,0) &amp;"", ""&amp; TEXT(VLOOKUP(J52,IMPORTRANGE(""https://docs.google.com/spreadsheets/d/1Qf"&amp;"InhV6_YXjbJgeCXJ370Rz4ercnFoTR58xB4rzVAmY/edit?gid=1954418948#gid=1954418948"",""T8.2025!D4:I49""),5,0),""D/M/YYYY""))"),"9h00, 21/8/2025")</f>
        <v>9h00, 21/8/2025</v>
      </c>
      <c r="Q52" s="33" t="str">
        <f>IFERROR(__xludf.DUMMYFUNCTION("VLOOKUP(J52,IMPORTRANGE(""https://docs.google.com/spreadsheets/d/1QfInhV6_YXjbJgeCXJ370Rz4ercnFoTR58xB4rzVAmY/edit?gid=1954418948#gid=1954418948"",""T8.2025!D4:G49""),4,0)"),"ĐH205")</f>
        <v>ĐH205</v>
      </c>
      <c r="R52" s="25"/>
      <c r="S52" s="45" t="s">
        <v>279</v>
      </c>
      <c r="T52" s="35" t="str">
        <f t="shared" si="1"/>
        <v>- Triển khai tuần sinh hoạt công dân giữa kỳ
- TB nghỉ lễ ngày 2/9/2025
- TB việc thực hiện bài thu hoạch SHCD- SV
- TB tổ chức học lại đợt 2 kỳ 1 năm học 25-26
- TB xét học bổng TOTO
- Triển khai các nhóm SV Khởi nghiệp
- GVCN đăng ký họp lớp, triển khai các nhiệm vụ năm học</v>
      </c>
      <c r="U52" s="43" t="str">
        <f t="shared" si="3"/>
        <v>- Triển khai TB nộp học phí Hk1 năm học 2025-2026
- Các nhóm SV NCKH thực hiện theo tiến độ
- 
- </v>
      </c>
      <c r="V52" s="35"/>
      <c r="W52" s="13"/>
      <c r="X52" s="37"/>
      <c r="Y52" s="38" t="str">
        <f t="shared" si="4"/>
        <v>21/8/2025</v>
      </c>
      <c r="Z52" s="3"/>
      <c r="AA52" s="3"/>
      <c r="AB52" s="3"/>
    </row>
    <row r="53">
      <c r="A53" s="65"/>
      <c r="B53" s="65"/>
      <c r="C53" s="85"/>
      <c r="D53" s="66"/>
      <c r="E53" s="66"/>
      <c r="F53" s="30">
        <v>47.0</v>
      </c>
      <c r="G53" s="41">
        <v>1720.0</v>
      </c>
      <c r="H53" s="50" t="s">
        <v>132</v>
      </c>
      <c r="I53" s="28" t="s">
        <v>133</v>
      </c>
      <c r="J53" s="80" t="s">
        <v>194</v>
      </c>
      <c r="K53" s="5" t="s">
        <v>96</v>
      </c>
      <c r="L53" s="30" t="s">
        <v>78</v>
      </c>
      <c r="M53" s="60"/>
      <c r="N53" s="33"/>
      <c r="O53" s="33"/>
      <c r="P53" s="33"/>
      <c r="Q53" s="33"/>
      <c r="R53" s="25"/>
      <c r="S53" s="35"/>
      <c r="T53" s="35"/>
      <c r="U53" s="43"/>
      <c r="V53" s="35"/>
      <c r="W53" s="13"/>
      <c r="X53" s="37"/>
      <c r="Y53" s="38" t="str">
        <f t="shared" si="4"/>
        <v>#VALUE!</v>
      </c>
      <c r="Z53" s="3"/>
      <c r="AA53" s="3"/>
      <c r="AB53" s="3"/>
    </row>
    <row r="54">
      <c r="A54" s="65"/>
      <c r="B54" s="77"/>
      <c r="C54" s="78"/>
      <c r="D54" s="66"/>
      <c r="E54" s="66"/>
      <c r="F54" s="25"/>
      <c r="G54" s="41"/>
      <c r="H54" s="50"/>
      <c r="I54" s="28"/>
      <c r="J54" s="84"/>
      <c r="K54" s="5"/>
      <c r="L54" s="30"/>
      <c r="M54" s="61"/>
      <c r="N54" s="42"/>
      <c r="O54" s="33"/>
      <c r="P54" s="33"/>
      <c r="Q54" s="33"/>
      <c r="R54" s="25"/>
      <c r="S54" s="45"/>
      <c r="T54" s="35"/>
      <c r="U54" s="43"/>
      <c r="V54" s="35"/>
      <c r="W54" s="13"/>
      <c r="X54" s="37"/>
      <c r="Y54" s="38" t="str">
        <f t="shared" si="4"/>
        <v>#VALUE!</v>
      </c>
      <c r="Z54" s="3"/>
      <c r="AA54" s="3"/>
      <c r="AB54" s="3"/>
    </row>
    <row r="55">
      <c r="A55" s="65"/>
      <c r="B55" s="77"/>
      <c r="C55" s="78"/>
      <c r="D55" s="66"/>
      <c r="E55" s="66"/>
      <c r="F55" s="25"/>
      <c r="G55" s="41"/>
      <c r="H55" s="76"/>
      <c r="I55" s="28"/>
      <c r="J55" s="84"/>
      <c r="K55" s="5"/>
      <c r="L55" s="30"/>
      <c r="M55" s="61"/>
      <c r="N55" s="33"/>
      <c r="O55" s="33"/>
      <c r="P55" s="33"/>
      <c r="Q55" s="33"/>
      <c r="R55" s="25"/>
      <c r="S55" s="35"/>
      <c r="T55" s="35"/>
      <c r="U55" s="43"/>
      <c r="V55" s="35"/>
      <c r="W55" s="13"/>
      <c r="X55" s="37"/>
      <c r="Y55" s="38" t="str">
        <f t="shared" si="4"/>
        <v>#VALUE!</v>
      </c>
      <c r="Z55" s="3"/>
      <c r="AA55" s="3"/>
      <c r="AB55" s="3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  <c r="AA56" s="3"/>
      <c r="AB56" s="3"/>
    </row>
    <row r="57" ht="22.5" customHeight="1">
      <c r="A57" s="1"/>
      <c r="B57" s="1"/>
      <c r="C57" s="1"/>
      <c r="D57" s="1"/>
      <c r="E57" s="1"/>
      <c r="F57" s="1"/>
      <c r="G57" s="1"/>
      <c r="H57" s="1"/>
      <c r="I57" s="93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  <c r="AA57" s="3"/>
      <c r="AB57" s="3"/>
    </row>
    <row r="58" ht="22.5" customHeight="1">
      <c r="A58" s="2"/>
      <c r="I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  <c r="AA58" s="3"/>
      <c r="AB58" s="3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  <c r="AA59" s="3"/>
      <c r="AB59" s="3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  <c r="AA60" s="3"/>
      <c r="AB60" s="3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  <c r="AA61" s="3"/>
      <c r="AB61" s="3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  <c r="AA62" s="3"/>
      <c r="AB62" s="3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  <c r="AA63" s="3"/>
      <c r="AB63" s="3"/>
    </row>
    <row r="64" ht="16.5" customHeight="1">
      <c r="A64" s="2"/>
      <c r="I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  <c r="AA64" s="3"/>
      <c r="AB64" s="3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  <c r="AA65" s="3"/>
      <c r="AB65" s="3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  <c r="AA66" s="3"/>
      <c r="AB66" s="3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  <c r="AA67" s="3"/>
      <c r="AB67" s="3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  <c r="AA68" s="3"/>
      <c r="AB68" s="3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  <c r="AA69" s="3"/>
      <c r="AB69" s="3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  <c r="AA70" s="3"/>
      <c r="AB70" s="3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  <c r="AA71" s="3"/>
      <c r="AB71" s="3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  <c r="AA72" s="3"/>
      <c r="AB72" s="3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  <c r="AA73" s="3"/>
      <c r="AB73" s="3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  <c r="AA74" s="3"/>
      <c r="AB74" s="3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  <c r="AA75" s="3"/>
      <c r="AB75" s="3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  <c r="AA76" s="3"/>
      <c r="AB76" s="3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  <c r="AA77" s="3"/>
      <c r="AB77" s="3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  <c r="AA78" s="3"/>
      <c r="AB78" s="3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  <c r="AA79" s="3"/>
      <c r="AB79" s="3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  <c r="AA80" s="3"/>
      <c r="AB80" s="3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  <c r="AA81" s="3"/>
      <c r="AB81" s="3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  <c r="AA82" s="3"/>
      <c r="AB82" s="3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  <c r="AA83" s="3"/>
      <c r="AB83" s="3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  <c r="AA84" s="3"/>
      <c r="AB84" s="3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  <c r="AA85" s="3"/>
      <c r="AB85" s="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  <c r="AA86" s="3"/>
      <c r="AB86" s="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  <c r="AA87" s="3"/>
      <c r="AB87" s="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  <c r="AA88" s="3"/>
      <c r="AB88" s="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  <c r="AA89" s="3"/>
      <c r="AB89" s="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  <c r="AA90" s="3"/>
      <c r="AB90" s="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  <c r="AA91" s="3"/>
      <c r="AB91" s="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  <c r="AA92" s="3"/>
      <c r="AB92" s="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  <c r="AA93" s="3"/>
      <c r="AB93" s="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  <c r="AA94" s="3"/>
      <c r="AB94" s="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  <c r="AA95" s="3"/>
      <c r="AB95" s="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  <c r="AA96" s="3"/>
      <c r="AB96" s="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  <c r="AA97" s="3"/>
      <c r="AB97" s="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  <c r="AA98" s="3"/>
      <c r="AB98" s="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  <c r="AA99" s="3"/>
      <c r="AB99" s="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  <c r="AA100" s="3"/>
      <c r="AB100" s="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  <c r="AA101" s="3"/>
      <c r="AB101" s="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17">
    <mergeCell ref="A1:H1"/>
    <mergeCell ref="I1:M1"/>
    <mergeCell ref="A2:H2"/>
    <mergeCell ref="I2:M2"/>
    <mergeCell ref="A4:M4"/>
    <mergeCell ref="C5:J5"/>
    <mergeCell ref="B8:B13"/>
    <mergeCell ref="A58:H58"/>
    <mergeCell ref="A64:H64"/>
    <mergeCell ref="I64:M64"/>
    <mergeCell ref="B14:B19"/>
    <mergeCell ref="B20:B23"/>
    <mergeCell ref="B26:B30"/>
    <mergeCell ref="B31:B36"/>
    <mergeCell ref="B37:B40"/>
    <mergeCell ref="I57:M57"/>
    <mergeCell ref="I58:M58"/>
  </mergeCells>
  <dataValidations>
    <dataValidation type="list" allowBlank="1" showErrorMessage="1" sqref="L8:L55">
      <formula1>"HTTT,CNPM,KHMT"</formula1>
    </dataValidation>
    <dataValidation type="list" allowBlank="1" showInputMessage="1" showErrorMessage="1" prompt="Click and enter a value from the list of items" sqref="K8:K55">
      <formula1>"K23,K20,K21,K22"</formula1>
    </dataValidation>
    <dataValidation type="list" allowBlank="1" showInputMessage="1" showErrorMessage="1" prompt="Click and enter a value from the list of items" sqref="D8:D19 D26:D36">
      <formula1>"ALL,K19,K20,K21,K22"</formula1>
    </dataValidation>
  </dataValidations>
  <hyperlinks>
    <hyperlink r:id="rId1" ref="B6"/>
    <hyperlink r:id="rId2" location="gid=0" ref="C6"/>
    <hyperlink r:id="rId3" location="gid=1954418948" ref="P7"/>
    <hyperlink r:id="rId4" location="gid=1954418948" ref="Q7"/>
    <hyperlink r:id="rId5" ref="U8"/>
    <hyperlink r:id="rId6" ref="U9"/>
    <hyperlink r:id="rId7" ref="U11"/>
  </hyperlinks>
  <printOptions/>
  <pageMargins bottom="0.31496062992125984" footer="0.0" header="0.0" left="0.4330708661417323" right="0.1968503937007874" top="0.31496062992125984"/>
  <pageSetup paperSize="9" orientation="portrait"/>
  <drawing r:id="rId8"/>
</worksheet>
</file>